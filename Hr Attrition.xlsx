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E666B244-B40D-45A4-BD24-FEFC8780BDF8}" xr6:coauthVersionLast="47" xr6:coauthVersionMax="47" xr10:uidLastSave="{00000000-0000-0000-0000-000000000000}"/>
  <bookViews>
    <workbookView xWindow="-120" yWindow="-120" windowWidth="20730" windowHeight="11160" xr2:uid="{94FC98E2-4B20-410E-AA8D-38E44A387549}"/>
  </bookViews>
  <sheets>
    <sheet name="HR-Employee-Attriti" sheetId="1" r:id="rId1"/>
    <sheet name="Basic calculation" sheetId="4" r:id="rId2"/>
    <sheet name="Pivot Table" sheetId="2" r:id="rId3"/>
    <sheet name="Dashboard" sheetId="3" r:id="rId4"/>
  </sheets>
  <definedNames>
    <definedName name="_xlchart.v1.0" hidden="1">'Basic calculation'!$A$2:$B$3</definedName>
    <definedName name="_xlchart.v1.1" hidden="1">'Basic calculation'!$C$2:$C$3</definedName>
  </definedNames>
  <calcPr calcId="191029"/>
  <pivotCaches>
    <pivotCache cacheId="2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R2" i="1" a="1"/>
  <c r="R2" i="1" s="1"/>
  <c r="E7" i="4" s="1"/>
  <c r="C3" i="4"/>
  <c r="C2" i="4"/>
  <c r="H7" i="4" l="1"/>
  <c r="E8" i="4"/>
  <c r="C8" i="4"/>
  <c r="D7" i="4"/>
  <c r="D8" i="4" s="1"/>
  <c r="C4" i="4"/>
  <c r="C9" i="4"/>
  <c r="H8" i="4"/>
  <c r="D9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<sst xmlns="http://schemas.openxmlformats.org/spreadsheetml/2006/main" count="13361" uniqueCount="88">
  <si>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</si>
  <si>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</si>
  <si>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</si>
  <si>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</si>
  <si>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</si>
  <si>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</si>
  <si>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</si>
  <si>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</si>
  <si>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</si>
  <si>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</si>
  <si>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</si>
  <si>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</si>
  <si>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</si>
  <si>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</si>
  <si>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</si>
  <si>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</si>
  <si>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</si>
  <si>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</si>
  <si>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</si>
  <si>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</si>
  <si>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</si>
  <si>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</si>
  <si>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</si>
  <si>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</si>
  <si>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</si>
  <si>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</si>
  <si>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</si>
  <si>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</si>
  <si>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</si>
  <si>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</si>
  <si>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</si>
  <si>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</si>
  <si>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</si>
  <si>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</si>
  <si>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</si>
  <si>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</si>
  <si>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</si>
  <si>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</si>
  <si>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</si>
  <si>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</si>
  <si>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</si>
  <si>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</si>
  <si>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</si>
  <si>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</si>
  <si>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</si>
  <si>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</si>
  <si>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</si>
  <si>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</si>
  <si>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</si>
  <si>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</si>
  <si>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</si>
  <si>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</si>
  <si>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</si>
  <si>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</si>
  <si>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</si>
  <si>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</si>
  <si>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</si>
  <si>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</si>
  <si>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</si>
  <si>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</si>
  <si>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</si>
  <si>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</si>
  <si>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</si>
  <si>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</si>
  <si>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</si>
  <si>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No. of employees</t>
  </si>
  <si>
    <t>No. of Attrition</t>
  </si>
  <si>
    <t>Rate of Attrition</t>
  </si>
  <si>
    <t xml:space="preserve">No. of employees who are satisfacted </t>
  </si>
  <si>
    <t xml:space="preserve">Condition </t>
  </si>
  <si>
    <t xml:space="preserve">No. of employees who are not satisfacted </t>
  </si>
  <si>
    <t>Rate of satisfaction</t>
  </si>
  <si>
    <t>Rate of Dissatisfaction</t>
  </si>
  <si>
    <t xml:space="preserve">Attrition Rate of 3 rated satisfaction </t>
  </si>
  <si>
    <t>Ratings</t>
  </si>
  <si>
    <t>Total</t>
  </si>
  <si>
    <t xml:space="preserve"> v</t>
  </si>
  <si>
    <t>Departments/Job role</t>
  </si>
  <si>
    <t xml:space="preserve">Job Satisfaction </t>
  </si>
  <si>
    <t>Work life Balance</t>
  </si>
  <si>
    <t xml:space="preserve">Year since last promotion </t>
  </si>
  <si>
    <t>Column Labels</t>
  </si>
  <si>
    <t xml:space="preserve">Year at company </t>
  </si>
  <si>
    <t xml:space="preserve">Environment Satisfaction </t>
  </si>
  <si>
    <t>(Multiple Items)</t>
  </si>
  <si>
    <t>Performance rating</t>
  </si>
  <si>
    <t>Count of JobSatisfaction</t>
  </si>
  <si>
    <t>Count of EnvironmentSatisfaction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</si>
</sst>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9" fontId="16" fillId="0" borderId="0" xfId="1" applyFont="1"/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NumberFormat="1"/>
    <xf numFmtId="0" fontId="16" fillId="0" borderId="0" xfId="0" applyFont="1" applyAlignment="1">
      <alignment horizontal="left"/>
    </xf>
    <xf numFmtId="0" fontId="16" fillId="0" borderId="0" xfId="0" applyNumberFormat="1" applyFont="1"/>
    <xf numFmtId="0" fontId="1" fillId="10" borderId="0" xfId="20" applyAlignment="1">
      <alignment horizontal="center"/>
    </xf>
    <xf numFmtId="0" fontId="1" fillId="10" borderId="0" xfId="20"/>
    <xf numFmtId="9" fontId="1" fillId="10" borderId="0" xfId="20" applyNumberFormat="1"/>
    <xf numFmtId="0" fontId="16" fillId="10" borderId="0" xfId="20" applyFont="1" applyAlignment="1">
      <alignment horizontal="center"/>
    </xf>
    <xf numFmtId="0" fontId="17" fillId="9" borderId="0" xfId="19" applyAlignment="1">
      <alignment horizontal="center" wrapText="1"/>
    </xf>
    <xf numFmtId="0" fontId="17" fillId="9" borderId="0" xfId="19" applyAlignment="1">
      <alignment horizontal="center"/>
    </xf>
    <xf numFmtId="0" fontId="17" fillId="9" borderId="0" xfId="19"/>
    <xf numFmtId="9" fontId="0" fillId="0" borderId="0" xfId="1" applyFont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wise 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68-4E34-9B7D-BCF228DC0E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68-4E34-9B7D-BCF228DC0EE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68-4E34-9B7D-BCF228DC0EE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wise attrition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Table'!$A$10:$A$20</c:f>
              <c:strCache>
                <c:ptCount val="10"/>
                <c:pt idx="0">
                  <c:v>29</c:v>
                </c:pt>
                <c:pt idx="1">
                  <c:v>31</c:v>
                </c:pt>
                <c:pt idx="2">
                  <c:v>28</c:v>
                </c:pt>
                <c:pt idx="3">
                  <c:v>26</c:v>
                </c:pt>
                <c:pt idx="4">
                  <c:v>33</c:v>
                </c:pt>
                <c:pt idx="5">
                  <c:v>32</c:v>
                </c:pt>
                <c:pt idx="6">
                  <c:v>35</c:v>
                </c:pt>
                <c:pt idx="7">
                  <c:v>34</c:v>
                </c:pt>
                <c:pt idx="8">
                  <c:v>30</c:v>
                </c:pt>
                <c:pt idx="9">
                  <c:v>24</c:v>
                </c:pt>
              </c:strCache>
            </c:strRef>
          </c:cat>
          <c:val>
            <c:numRef>
              <c:f>'Pivot Table'!$B$10:$B$20</c:f>
              <c:numCache>
                <c:formatCode>General</c:formatCode>
                <c:ptCount val="10"/>
                <c:pt idx="0">
                  <c:v>18</c:v>
                </c:pt>
                <c:pt idx="1">
                  <c:v>18</c:v>
                </c:pt>
                <c:pt idx="2">
                  <c:v>14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C-4731-A5DD-C573184782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6973024"/>
        <c:axId val="226970624"/>
      </c:barChart>
      <c:catAx>
        <c:axId val="22697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970624"/>
        <c:crosses val="autoZero"/>
        <c:auto val="1"/>
        <c:lblAlgn val="ctr"/>
        <c:lblOffset val="100"/>
        <c:noMultiLvlLbl val="0"/>
      </c:catAx>
      <c:valAx>
        <c:axId val="2269706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697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and job wise attrition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Table'!$C$4:$C$17</c:f>
              <c:multiLvlStrCache>
                <c:ptCount val="10"/>
                <c:lvl>
                  <c:pt idx="0">
                    <c:v>Human Resources</c:v>
                  </c:pt>
                  <c:pt idx="1">
                    <c:v>Healthcare Representative</c:v>
                  </c:pt>
                  <c:pt idx="2">
                    <c:v>Laboratory Technician</c:v>
                  </c:pt>
                  <c:pt idx="3">
                    <c:v>Manager</c:v>
                  </c:pt>
                  <c:pt idx="4">
                    <c:v>Manufacturing Director</c:v>
                  </c:pt>
                  <c:pt idx="5">
                    <c:v>Research Director</c:v>
                  </c:pt>
                  <c:pt idx="6">
                    <c:v>Research Scientist</c:v>
                  </c:pt>
                  <c:pt idx="7">
                    <c:v>Manager</c:v>
                  </c:pt>
                  <c:pt idx="8">
                    <c:v>Sales Executive</c:v>
                  </c:pt>
                  <c:pt idx="9">
                    <c:v>Sales Representative</c:v>
                  </c:pt>
                </c:lvl>
                <c:lvl>
                  <c:pt idx="0">
                    <c:v>Human Resources</c:v>
                  </c:pt>
                  <c:pt idx="1">
                    <c:v>Research &amp; Development</c:v>
                  </c:pt>
                  <c:pt idx="7">
                    <c:v>Sales</c:v>
                  </c:pt>
                </c:lvl>
              </c:multiLvlStrCache>
            </c:multiLvlStrRef>
          </c:cat>
          <c:val>
            <c:numRef>
              <c:f>'Pivot Table'!$D$4:$D$17</c:f>
              <c:numCache>
                <c:formatCode>General</c:formatCode>
                <c:ptCount val="10"/>
                <c:pt idx="0">
                  <c:v>12</c:v>
                </c:pt>
                <c:pt idx="1">
                  <c:v>9</c:v>
                </c:pt>
                <c:pt idx="2">
                  <c:v>62</c:v>
                </c:pt>
                <c:pt idx="3">
                  <c:v>3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2</c:v>
                </c:pt>
                <c:pt idx="8">
                  <c:v>57</c:v>
                </c:pt>
                <c:pt idx="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FC-4957-8EC7-38A8556DE3A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226650480"/>
        <c:axId val="226647120"/>
      </c:lineChart>
      <c:catAx>
        <c:axId val="22665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47120"/>
        <c:crosses val="autoZero"/>
        <c:auto val="1"/>
        <c:lblAlgn val="ctr"/>
        <c:lblOffset val="100"/>
        <c:noMultiLvlLbl val="0"/>
      </c:catAx>
      <c:valAx>
        <c:axId val="2266471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2665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based on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Table'!$E$4:$E$8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Table'!$F$4:$F$8</c:f>
              <c:numCache>
                <c:formatCode>General</c:formatCode>
                <c:ptCount val="4"/>
                <c:pt idx="0">
                  <c:v>66</c:v>
                </c:pt>
                <c:pt idx="1">
                  <c:v>46</c:v>
                </c:pt>
                <c:pt idx="2">
                  <c:v>73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9-4DC1-A43F-106055DF80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6648560"/>
        <c:axId val="226649040"/>
      </c:barChart>
      <c:catAx>
        <c:axId val="22664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49040"/>
        <c:crosses val="autoZero"/>
        <c:auto val="1"/>
        <c:lblAlgn val="ctr"/>
        <c:lblOffset val="100"/>
        <c:noMultiLvlLbl val="0"/>
      </c:catAx>
      <c:valAx>
        <c:axId val="2266490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64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as per last promotion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lt1">
                  <a:alpha val="50000"/>
                </a:schemeClr>
              </a:gs>
              <a:gs pos="100000">
                <a:schemeClr val="lt1">
                  <a:alpha val="0"/>
                </a:schemeClr>
              </a:gs>
            </a:gsLst>
            <a:lin ang="5400000" scaled="0"/>
          </a:gradFill>
          <a:ln>
            <a:solidFill>
              <a:schemeClr val="accent1"/>
            </a:solidFill>
          </a:ln>
          <a:effectLst>
            <a:innerShdw dist="38100" dir="16200000">
              <a:schemeClr val="lt1"/>
            </a:inn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Table'!$H$4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lt1">
                    <a:alpha val="50000"/>
                  </a:schemeClr>
                </a:gs>
                <a:gs pos="100000">
                  <a:schemeClr val="lt1">
                    <a:alpha val="0"/>
                  </a:schemeClr>
                </a:gs>
              </a:gsLst>
              <a:lin ang="5400000" scaled="0"/>
            </a:gradFill>
            <a:ln>
              <a:solidFill>
                <a:schemeClr val="accent1"/>
              </a:solidFill>
            </a:ln>
            <a:effectLst>
              <a:innerShdw dist="381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Table'!$G$5:$G$19</c:f>
              <c:strCach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</c:strCache>
            </c:strRef>
          </c:cat>
          <c:val>
            <c:numRef>
              <c:f>'Pivot Table'!$H$5:$H$19</c:f>
              <c:numCache>
                <c:formatCode>General</c:formatCode>
                <c:ptCount val="14"/>
                <c:pt idx="0">
                  <c:v>110</c:v>
                </c:pt>
                <c:pt idx="1">
                  <c:v>49</c:v>
                </c:pt>
                <c:pt idx="2">
                  <c:v>27</c:v>
                </c:pt>
                <c:pt idx="3">
                  <c:v>9</c:v>
                </c:pt>
                <c:pt idx="4">
                  <c:v>5</c:v>
                </c:pt>
                <c:pt idx="5">
                  <c:v>2</c:v>
                </c:pt>
                <c:pt idx="6">
                  <c:v>6</c:v>
                </c:pt>
                <c:pt idx="7">
                  <c:v>16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A-4557-A549-16B58EA429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5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axId val="75938272"/>
        <c:axId val="1932393840"/>
      </c:areaChart>
      <c:catAx>
        <c:axId val="7593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393840"/>
        <c:crosses val="autoZero"/>
        <c:auto val="1"/>
        <c:lblAlgn val="ctr"/>
        <c:lblOffset val="100"/>
        <c:noMultiLvlLbl val="0"/>
      </c:catAx>
      <c:valAx>
        <c:axId val="19323938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5938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[Hr Attrition.xlsx]Pivot Table!PivotTable7</c:name>
    <c:fmtId val="3"/>
  </c:pivotSource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'Pivot Table'!$D$20:$D$21</c:f>
              <c:strCache>
                <c:ptCount val="1"/>
                <c:pt idx="0">
                  <c:v>Divorced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Table'!$C$22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Table'!$D$22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4-461F-9189-4F871562F798}"/>
            </c:ext>
          </c:extLst>
        </c:ser>
        <c:ser>
          <c:idx val="1"/>
          <c:order val="1"/>
          <c:tx>
            <c:strRef>
              <c:f>'Pivot Table'!$E$20:$E$21</c:f>
              <c:strCache>
                <c:ptCount val="1"/>
                <c:pt idx="0">
                  <c:v>Married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Table'!$C$22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Table'!$E$22</c:f>
              <c:numCache>
                <c:formatCode>General</c:formatCode>
                <c:ptCount val="1"/>
                <c:pt idx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4-461F-9189-4F871562F798}"/>
            </c:ext>
          </c:extLst>
        </c:ser>
        <c:ser>
          <c:idx val="2"/>
          <c:order val="2"/>
          <c:tx>
            <c:strRef>
              <c:f>'Pivot Table'!$F$20:$F$21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Table'!$C$22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Table'!$F$22</c:f>
              <c:numCache>
                <c:formatCode>General</c:formatCode>
                <c:ptCount val="1"/>
                <c:pt idx="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4-461F-9189-4F871562F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5221840"/>
        <c:axId val="325219440"/>
        <c:axId val="224652000"/>
      </c:bar3DChart>
      <c:catAx>
        <c:axId val="32522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19440"/>
        <c:crosses val="autoZero"/>
        <c:auto val="1"/>
        <c:lblAlgn val="ctr"/>
        <c:lblOffset val="100"/>
        <c:noMultiLvlLbl val="0"/>
      </c:catAx>
      <c:valAx>
        <c:axId val="3252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21840"/>
        <c:crosses val="autoZero"/>
        <c:crossBetween val="between"/>
      </c:valAx>
      <c:serAx>
        <c:axId val="2246520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1944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Attrition.xlsx]Pivot Table!PivotTable8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Year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Table'!$D$25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Table'!$C$26:$C$36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10</c:v>
                </c:pt>
                <c:pt idx="6">
                  <c:v>0</c:v>
                </c:pt>
                <c:pt idx="7">
                  <c:v>7</c:v>
                </c:pt>
                <c:pt idx="8">
                  <c:v>6</c:v>
                </c:pt>
                <c:pt idx="9">
                  <c:v>8</c:v>
                </c:pt>
              </c:strCache>
            </c:strRef>
          </c:cat>
          <c:val>
            <c:numRef>
              <c:f>'Pivot Table'!$D$26:$D$36</c:f>
              <c:numCache>
                <c:formatCode>General</c:formatCode>
                <c:ptCount val="10"/>
                <c:pt idx="0">
                  <c:v>59</c:v>
                </c:pt>
                <c:pt idx="1">
                  <c:v>27</c:v>
                </c:pt>
                <c:pt idx="2">
                  <c:v>21</c:v>
                </c:pt>
                <c:pt idx="3">
                  <c:v>20</c:v>
                </c:pt>
                <c:pt idx="4">
                  <c:v>19</c:v>
                </c:pt>
                <c:pt idx="5">
                  <c:v>18</c:v>
                </c:pt>
                <c:pt idx="6">
                  <c:v>16</c:v>
                </c:pt>
                <c:pt idx="7">
                  <c:v>11</c:v>
                </c:pt>
                <c:pt idx="8">
                  <c:v>9</c:v>
                </c:pt>
                <c:pt idx="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A9-4C74-AFEE-4523ED54E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25217520"/>
        <c:axId val="325218000"/>
      </c:lineChart>
      <c:catAx>
        <c:axId val="3252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18000"/>
        <c:crosses val="autoZero"/>
        <c:auto val="1"/>
        <c:lblAlgn val="ctr"/>
        <c:lblOffset val="100"/>
        <c:noMultiLvlLbl val="0"/>
      </c:catAx>
      <c:valAx>
        <c:axId val="32521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21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Attrition.xlsx]Pivot 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Attrition rate based on Environment Satisfaction </a:t>
            </a:r>
          </a:p>
        </c:rich>
      </c:tx>
      <c:layout>
        <c:manualLayout>
          <c:xMode val="edge"/>
          <c:yMode val="edge"/>
          <c:x val="0.19463636363636364"/>
          <c:y val="0.20166229221347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Table'!$J$4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Table'!$I$5:$I$9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'Pivot Table'!$J$5:$J$9</c:f>
              <c:numCache>
                <c:formatCode>General</c:formatCode>
                <c:ptCount val="4"/>
                <c:pt idx="0">
                  <c:v>72</c:v>
                </c:pt>
                <c:pt idx="1">
                  <c:v>43</c:v>
                </c:pt>
                <c:pt idx="2">
                  <c:v>62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5-4154-85D4-91F3DF8EBF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88705248"/>
        <c:axId val="288708128"/>
      </c:barChart>
      <c:catAx>
        <c:axId val="28870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708128"/>
        <c:crosses val="autoZero"/>
        <c:auto val="1"/>
        <c:lblAlgn val="ctr"/>
        <c:lblOffset val="100"/>
        <c:noMultiLvlLbl val="0"/>
      </c:catAx>
      <c:valAx>
        <c:axId val="288708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87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Attrition Percentage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rPr>
            <a:t>Attrition Percentage</a:t>
          </a:r>
        </a:p>
      </cx:txPr>
    </cx:title>
    <cx:plotArea>
      <cx:plotAreaRegion>
        <cx:series layoutId="sunburst" uniqueId="{419DE477-0423-4E62-98DC-2425C9771178}"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5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tx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>
  <cs:dataPoint3D>
    <cs:lnRef idx="0">
      <cs:styleClr val="auto"/>
    </cs:lnRef>
    <cs:fillRef idx="0"/>
    <cs:effectRef idx="0"/>
    <cs:fontRef idx="minor">
      <a:schemeClr val="lt1"/>
    </cs:fontRef>
    <cs:spPr>
      <a:gradFill>
        <a:gsLst>
          <a:gs pos="0">
            <a:schemeClr val="lt1">
              <a:alpha val="50000"/>
            </a:schemeClr>
          </a:gs>
          <a:gs pos="100000">
            <a:schemeClr val="lt1">
              <a:alpha val="0"/>
            </a:schemeClr>
          </a:gs>
        </a:gsLst>
        <a:lin ang="5400000" scaled="0"/>
      </a:gradFill>
      <a:ln>
        <a:solidFill>
          <a:schemeClr val="phClr"/>
        </a:solidFill>
      </a:ln>
      <a:effectLst>
        <a:innerShdw dist="38100" dir="16200000">
          <a:schemeClr val="lt1"/>
        </a:innerShdw>
      </a:effectLst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 cap="flat" cmpd="sng" algn="ctr">
        <a:gradFill>
          <a:gsLst>
            <a:gs pos="0">
              <a:schemeClr val="lt1"/>
            </a:gs>
            <a:gs pos="5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lt1"/>
    </cs:fontRef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0</xdr:row>
      <xdr:rowOff>0</xdr:rowOff>
    </xdr:from>
    <xdr:to>
      <xdr:col>13</xdr:col>
      <xdr:colOff>295275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F1D5F-A8A7-4A74-BDFE-8640146F6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600075</xdr:colOff>
      <xdr:row>14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B7D1748-3EB0-4C73-AFE2-B2EAD89D47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2576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276225</xdr:colOff>
      <xdr:row>0</xdr:row>
      <xdr:rowOff>0</xdr:rowOff>
    </xdr:from>
    <xdr:to>
      <xdr:col>20</xdr:col>
      <xdr:colOff>266700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7E27EB-F76F-4A5E-B97B-C3A21638D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66675</xdr:rowOff>
    </xdr:from>
    <xdr:to>
      <xdr:col>6</xdr:col>
      <xdr:colOff>600075</xdr:colOff>
      <xdr:row>28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48298B-36ED-417F-BEAB-744283399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285750</xdr:colOff>
      <xdr:row>14</xdr:row>
      <xdr:rowOff>47625</xdr:rowOff>
    </xdr:from>
    <xdr:to>
      <xdr:col>20</xdr:col>
      <xdr:colOff>276225</xdr:colOff>
      <xdr:row>28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E6EFEA-9DEF-4328-AE5F-3B48F2A76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581026</xdr:colOff>
      <xdr:row>14</xdr:row>
      <xdr:rowOff>76200</xdr:rowOff>
    </xdr:from>
    <xdr:to>
      <xdr:col>13</xdr:col>
      <xdr:colOff>371475</xdr:colOff>
      <xdr:row>28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89AAF6-D5B6-49F5-8401-6EAE02617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28</xdr:row>
      <xdr:rowOff>133350</xdr:rowOff>
    </xdr:from>
    <xdr:to>
      <xdr:col>7</xdr:col>
      <xdr:colOff>0</xdr:colOff>
      <xdr:row>43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692A2AA-E403-4CF2-B9EE-E93A5EFF3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28</xdr:row>
      <xdr:rowOff>114300</xdr:rowOff>
    </xdr:from>
    <xdr:to>
      <xdr:col>13</xdr:col>
      <xdr:colOff>381000</xdr:colOff>
      <xdr:row>43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3FEAD8-38F5-4906-B1E0-9B4FC0064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371475</xdr:colOff>
      <xdr:row>28</xdr:row>
      <xdr:rowOff>95250</xdr:rowOff>
    </xdr:from>
    <xdr:to>
      <xdr:col>20</xdr:col>
      <xdr:colOff>295275</xdr:colOff>
      <xdr:row>42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DC0DE8-812B-469D-B7EF-AEBB6E20A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8.851144791668" createdVersion="8" refreshedVersion="8" minRefreshableVersion="3" recordCount="1470" xr:uid="{36F1D28B-A250-416C-BC35-CCFD1E772A72}">
  <cacheSource type="worksheet">
    <worksheetSource ref="A1:AJ1471" sheet="HR-Employee-Attriti"/>
  </cacheSource>
  <cacheFields count="35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 count="1">
        <n v="80"/>
      </sharedItems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1"/>
    <x v="0"/>
    <x v="0"/>
    <x v="0"/>
    <x v="0"/>
    <x v="0"/>
    <x v="0"/>
    <x v="0"/>
    <x v="0"/>
    <x v="0"/>
    <x v="0"/>
    <x v="0"/>
    <s v="Y"/>
    <s v="Yes"/>
    <x v="0"/>
    <x v="0"/>
    <n v="1"/>
    <x v="0"/>
    <n v="0"/>
    <x v="0"/>
    <n v="0"/>
    <x v="0"/>
    <x v="0"/>
    <x v="0"/>
    <x v="0"/>
    <x v="0"/>
  </r>
  <r>
    <x v="1"/>
    <x v="1"/>
    <s v="Travel_Frequently"/>
    <n v="279"/>
    <x v="1"/>
    <n v="8"/>
    <n v="1"/>
    <s v="Life Sciences"/>
    <n v="1"/>
    <n v="2"/>
    <x v="1"/>
    <x v="1"/>
    <x v="1"/>
    <x v="1"/>
    <x v="0"/>
    <x v="1"/>
    <x v="1"/>
    <x v="1"/>
    <x v="1"/>
    <x v="1"/>
    <x v="1"/>
    <s v="Y"/>
    <s v="No"/>
    <x v="1"/>
    <x v="1"/>
    <n v="4"/>
    <x v="0"/>
    <n v="1"/>
    <x v="1"/>
    <n v="3"/>
    <x v="1"/>
    <x v="1"/>
    <x v="1"/>
    <x v="1"/>
    <x v="1"/>
  </r>
  <r>
    <x v="2"/>
    <x v="0"/>
    <s v="Travel_Rarely"/>
    <n v="1373"/>
    <x v="1"/>
    <n v="2"/>
    <n v="2"/>
    <s v="Other"/>
    <n v="1"/>
    <n v="4"/>
    <x v="2"/>
    <x v="1"/>
    <x v="2"/>
    <x v="1"/>
    <x v="1"/>
    <x v="2"/>
    <x v="2"/>
    <x v="0"/>
    <x v="2"/>
    <x v="2"/>
    <x v="2"/>
    <s v="Y"/>
    <s v="Yes"/>
    <x v="2"/>
    <x v="0"/>
    <n v="2"/>
    <x v="0"/>
    <n v="0"/>
    <x v="2"/>
    <n v="3"/>
    <x v="1"/>
    <x v="2"/>
    <x v="2"/>
    <x v="0"/>
    <x v="2"/>
  </r>
  <r>
    <x v="3"/>
    <x v="1"/>
    <s v="Travel_Frequently"/>
    <n v="1392"/>
    <x v="1"/>
    <n v="3"/>
    <n v="4"/>
    <s v="Life Sciences"/>
    <n v="1"/>
    <n v="5"/>
    <x v="2"/>
    <x v="0"/>
    <x v="3"/>
    <x v="0"/>
    <x v="1"/>
    <x v="1"/>
    <x v="2"/>
    <x v="1"/>
    <x v="3"/>
    <x v="3"/>
    <x v="1"/>
    <s v="Y"/>
    <s v="Yes"/>
    <x v="0"/>
    <x v="0"/>
    <n v="3"/>
    <x v="0"/>
    <n v="0"/>
    <x v="0"/>
    <n v="3"/>
    <x v="1"/>
    <x v="3"/>
    <x v="1"/>
    <x v="2"/>
    <x v="2"/>
  </r>
  <r>
    <x v="4"/>
    <x v="1"/>
    <s v="Travel_Rarely"/>
    <n v="591"/>
    <x v="1"/>
    <n v="2"/>
    <n v="1"/>
    <s v="Medical"/>
    <n v="1"/>
    <n v="7"/>
    <x v="3"/>
    <x v="1"/>
    <x v="4"/>
    <x v="0"/>
    <x v="1"/>
    <x v="2"/>
    <x v="1"/>
    <x v="1"/>
    <x v="4"/>
    <x v="4"/>
    <x v="3"/>
    <s v="Y"/>
    <s v="No"/>
    <x v="3"/>
    <x v="0"/>
    <n v="4"/>
    <x v="0"/>
    <n v="1"/>
    <x v="3"/>
    <n v="3"/>
    <x v="1"/>
    <x v="4"/>
    <x v="3"/>
    <x v="3"/>
    <x v="3"/>
  </r>
  <r>
    <x v="5"/>
    <x v="1"/>
    <s v="Travel_Frequently"/>
    <n v="1005"/>
    <x v="1"/>
    <n v="2"/>
    <n v="2"/>
    <s v="Life Sciences"/>
    <n v="1"/>
    <n v="8"/>
    <x v="2"/>
    <x v="1"/>
    <x v="5"/>
    <x v="0"/>
    <x v="1"/>
    <x v="2"/>
    <x v="0"/>
    <x v="0"/>
    <x v="5"/>
    <x v="5"/>
    <x v="4"/>
    <s v="Y"/>
    <s v="No"/>
    <x v="4"/>
    <x v="0"/>
    <n v="3"/>
    <x v="0"/>
    <n v="0"/>
    <x v="0"/>
    <n v="2"/>
    <x v="2"/>
    <x v="5"/>
    <x v="1"/>
    <x v="2"/>
    <x v="4"/>
  </r>
  <r>
    <x v="6"/>
    <x v="1"/>
    <s v="Travel_Rarely"/>
    <n v="1324"/>
    <x v="1"/>
    <n v="3"/>
    <n v="3"/>
    <s v="Medical"/>
    <n v="1"/>
    <n v="10"/>
    <x v="1"/>
    <x v="0"/>
    <x v="6"/>
    <x v="2"/>
    <x v="1"/>
    <x v="2"/>
    <x v="3"/>
    <x v="1"/>
    <x v="6"/>
    <x v="6"/>
    <x v="5"/>
    <s v="Y"/>
    <s v="Yes"/>
    <x v="5"/>
    <x v="1"/>
    <n v="1"/>
    <x v="0"/>
    <n v="3"/>
    <x v="4"/>
    <n v="3"/>
    <x v="2"/>
    <x v="6"/>
    <x v="2"/>
    <x v="0"/>
    <x v="2"/>
  </r>
  <r>
    <x v="7"/>
    <x v="1"/>
    <s v="Travel_Rarely"/>
    <n v="1358"/>
    <x v="1"/>
    <n v="24"/>
    <n v="1"/>
    <s v="Life Sciences"/>
    <n v="1"/>
    <n v="11"/>
    <x v="2"/>
    <x v="1"/>
    <x v="7"/>
    <x v="0"/>
    <x v="1"/>
    <x v="2"/>
    <x v="2"/>
    <x v="2"/>
    <x v="7"/>
    <x v="7"/>
    <x v="1"/>
    <s v="Y"/>
    <s v="No"/>
    <x v="6"/>
    <x v="1"/>
    <n v="2"/>
    <x v="0"/>
    <n v="1"/>
    <x v="5"/>
    <n v="2"/>
    <x v="1"/>
    <x v="6"/>
    <x v="2"/>
    <x v="0"/>
    <x v="2"/>
  </r>
  <r>
    <x v="8"/>
    <x v="1"/>
    <s v="Travel_Frequently"/>
    <n v="216"/>
    <x v="1"/>
    <n v="23"/>
    <n v="3"/>
    <s v="Life Sciences"/>
    <n v="1"/>
    <n v="12"/>
    <x v="2"/>
    <x v="1"/>
    <x v="8"/>
    <x v="1"/>
    <x v="2"/>
    <x v="3"/>
    <x v="2"/>
    <x v="0"/>
    <x v="8"/>
    <x v="8"/>
    <x v="4"/>
    <s v="Y"/>
    <s v="No"/>
    <x v="7"/>
    <x v="1"/>
    <n v="2"/>
    <x v="0"/>
    <n v="0"/>
    <x v="1"/>
    <n v="2"/>
    <x v="1"/>
    <x v="7"/>
    <x v="1"/>
    <x v="1"/>
    <x v="5"/>
  </r>
  <r>
    <x v="9"/>
    <x v="1"/>
    <s v="Travel_Rarely"/>
    <n v="1299"/>
    <x v="1"/>
    <n v="27"/>
    <n v="3"/>
    <s v="Medical"/>
    <n v="1"/>
    <n v="13"/>
    <x v="1"/>
    <x v="1"/>
    <x v="0"/>
    <x v="0"/>
    <x v="0"/>
    <x v="4"/>
    <x v="2"/>
    <x v="1"/>
    <x v="9"/>
    <x v="9"/>
    <x v="2"/>
    <s v="Y"/>
    <s v="No"/>
    <x v="4"/>
    <x v="0"/>
    <n v="2"/>
    <x v="0"/>
    <n v="2"/>
    <x v="6"/>
    <n v="3"/>
    <x v="2"/>
    <x v="5"/>
    <x v="1"/>
    <x v="4"/>
    <x v="1"/>
  </r>
  <r>
    <x v="10"/>
    <x v="1"/>
    <s v="Travel_Rarely"/>
    <n v="809"/>
    <x v="1"/>
    <n v="16"/>
    <n v="3"/>
    <s v="Medical"/>
    <n v="1"/>
    <n v="14"/>
    <x v="3"/>
    <x v="1"/>
    <x v="9"/>
    <x v="2"/>
    <x v="1"/>
    <x v="2"/>
    <x v="1"/>
    <x v="1"/>
    <x v="10"/>
    <x v="10"/>
    <x v="4"/>
    <s v="Y"/>
    <s v="No"/>
    <x v="4"/>
    <x v="0"/>
    <n v="3"/>
    <x v="0"/>
    <n v="1"/>
    <x v="3"/>
    <n v="5"/>
    <x v="1"/>
    <x v="8"/>
    <x v="0"/>
    <x v="0"/>
    <x v="6"/>
  </r>
  <r>
    <x v="11"/>
    <x v="1"/>
    <s v="Travel_Rarely"/>
    <n v="153"/>
    <x v="1"/>
    <n v="15"/>
    <n v="2"/>
    <s v="Life Sciences"/>
    <n v="1"/>
    <n v="15"/>
    <x v="2"/>
    <x v="0"/>
    <x v="10"/>
    <x v="1"/>
    <x v="0"/>
    <x v="2"/>
    <x v="2"/>
    <x v="0"/>
    <x v="11"/>
    <x v="11"/>
    <x v="4"/>
    <s v="Y"/>
    <s v="Yes"/>
    <x v="3"/>
    <x v="0"/>
    <n v="4"/>
    <x v="0"/>
    <n v="0"/>
    <x v="1"/>
    <n v="3"/>
    <x v="1"/>
    <x v="7"/>
    <x v="4"/>
    <x v="0"/>
    <x v="5"/>
  </r>
  <r>
    <x v="12"/>
    <x v="1"/>
    <s v="Travel_Rarely"/>
    <n v="670"/>
    <x v="1"/>
    <n v="26"/>
    <n v="1"/>
    <s v="Life Sciences"/>
    <n v="1"/>
    <n v="16"/>
    <x v="3"/>
    <x v="1"/>
    <x v="11"/>
    <x v="0"/>
    <x v="1"/>
    <x v="1"/>
    <x v="2"/>
    <x v="2"/>
    <x v="12"/>
    <x v="12"/>
    <x v="1"/>
    <s v="Y"/>
    <s v="No"/>
    <x v="8"/>
    <x v="0"/>
    <n v="4"/>
    <x v="0"/>
    <n v="1"/>
    <x v="7"/>
    <n v="1"/>
    <x v="2"/>
    <x v="8"/>
    <x v="3"/>
    <x v="5"/>
    <x v="6"/>
  </r>
  <r>
    <x v="13"/>
    <x v="1"/>
    <s v="Travel_Rarely"/>
    <n v="1346"/>
    <x v="1"/>
    <n v="19"/>
    <n v="2"/>
    <s v="Medical"/>
    <n v="1"/>
    <n v="18"/>
    <x v="0"/>
    <x v="1"/>
    <x v="12"/>
    <x v="0"/>
    <x v="1"/>
    <x v="2"/>
    <x v="0"/>
    <x v="2"/>
    <x v="13"/>
    <x v="13"/>
    <x v="4"/>
    <s v="Y"/>
    <s v="No"/>
    <x v="0"/>
    <x v="0"/>
    <n v="3"/>
    <x v="0"/>
    <n v="1"/>
    <x v="8"/>
    <n v="2"/>
    <x v="1"/>
    <x v="4"/>
    <x v="3"/>
    <x v="1"/>
    <x v="3"/>
  </r>
  <r>
    <x v="14"/>
    <x v="0"/>
    <s v="Travel_Rarely"/>
    <n v="103"/>
    <x v="1"/>
    <n v="24"/>
    <n v="3"/>
    <s v="Life Sciences"/>
    <n v="1"/>
    <n v="19"/>
    <x v="1"/>
    <x v="1"/>
    <x v="13"/>
    <x v="1"/>
    <x v="1"/>
    <x v="2"/>
    <x v="2"/>
    <x v="0"/>
    <x v="14"/>
    <x v="14"/>
    <x v="6"/>
    <s v="Y"/>
    <s v="Yes"/>
    <x v="9"/>
    <x v="0"/>
    <n v="2"/>
    <x v="0"/>
    <n v="0"/>
    <x v="3"/>
    <n v="4"/>
    <x v="1"/>
    <x v="9"/>
    <x v="3"/>
    <x v="0"/>
    <x v="6"/>
  </r>
  <r>
    <x v="11"/>
    <x v="1"/>
    <s v="Travel_Rarely"/>
    <n v="1389"/>
    <x v="1"/>
    <n v="21"/>
    <n v="4"/>
    <s v="Life Sciences"/>
    <n v="1"/>
    <n v="20"/>
    <x v="0"/>
    <x v="0"/>
    <x v="14"/>
    <x v="2"/>
    <x v="2"/>
    <x v="3"/>
    <x v="3"/>
    <x v="2"/>
    <x v="15"/>
    <x v="15"/>
    <x v="1"/>
    <s v="Y"/>
    <s v="No"/>
    <x v="0"/>
    <x v="0"/>
    <n v="3"/>
    <x v="0"/>
    <n v="1"/>
    <x v="1"/>
    <n v="1"/>
    <x v="1"/>
    <x v="1"/>
    <x v="5"/>
    <x v="6"/>
    <x v="5"/>
  </r>
  <r>
    <x v="5"/>
    <x v="1"/>
    <s v="Travel_Rarely"/>
    <n v="334"/>
    <x v="1"/>
    <n v="5"/>
    <n v="2"/>
    <s v="Life Sciences"/>
    <n v="1"/>
    <n v="21"/>
    <x v="3"/>
    <x v="1"/>
    <x v="15"/>
    <x v="2"/>
    <x v="1"/>
    <x v="1"/>
    <x v="1"/>
    <x v="2"/>
    <x v="16"/>
    <x v="16"/>
    <x v="4"/>
    <s v="Y"/>
    <s v="Yes"/>
    <x v="3"/>
    <x v="0"/>
    <n v="4"/>
    <x v="0"/>
    <n v="2"/>
    <x v="2"/>
    <n v="5"/>
    <x v="2"/>
    <x v="0"/>
    <x v="3"/>
    <x v="0"/>
    <x v="0"/>
  </r>
  <r>
    <x v="15"/>
    <x v="1"/>
    <s v="Non-Travel"/>
    <n v="1123"/>
    <x v="1"/>
    <n v="16"/>
    <n v="2"/>
    <s v="Medical"/>
    <n v="1"/>
    <n v="22"/>
    <x v="2"/>
    <x v="1"/>
    <x v="16"/>
    <x v="2"/>
    <x v="1"/>
    <x v="2"/>
    <x v="0"/>
    <x v="2"/>
    <x v="17"/>
    <x v="17"/>
    <x v="1"/>
    <s v="Y"/>
    <s v="Yes"/>
    <x v="4"/>
    <x v="0"/>
    <n v="2"/>
    <x v="0"/>
    <n v="2"/>
    <x v="5"/>
    <n v="2"/>
    <x v="2"/>
    <x v="6"/>
    <x v="2"/>
    <x v="0"/>
    <x v="2"/>
  </r>
  <r>
    <x v="16"/>
    <x v="1"/>
    <s v="Travel_Rarely"/>
    <n v="1219"/>
    <x v="0"/>
    <n v="2"/>
    <n v="4"/>
    <s v="Life Sciences"/>
    <n v="1"/>
    <n v="23"/>
    <x v="3"/>
    <x v="0"/>
    <x v="17"/>
    <x v="1"/>
    <x v="3"/>
    <x v="5"/>
    <x v="0"/>
    <x v="1"/>
    <x v="18"/>
    <x v="18"/>
    <x v="7"/>
    <s v="Y"/>
    <s v="No"/>
    <x v="10"/>
    <x v="0"/>
    <n v="3"/>
    <x v="0"/>
    <n v="0"/>
    <x v="9"/>
    <n v="3"/>
    <x v="1"/>
    <x v="10"/>
    <x v="6"/>
    <x v="2"/>
    <x v="1"/>
  </r>
  <r>
    <x v="8"/>
    <x v="1"/>
    <s v="Travel_Rarely"/>
    <n v="371"/>
    <x v="1"/>
    <n v="2"/>
    <n v="3"/>
    <s v="Life Sciences"/>
    <n v="1"/>
    <n v="24"/>
    <x v="2"/>
    <x v="1"/>
    <x v="18"/>
    <x v="0"/>
    <x v="1"/>
    <x v="1"/>
    <x v="0"/>
    <x v="0"/>
    <x v="19"/>
    <x v="19"/>
    <x v="6"/>
    <s v="Y"/>
    <s v="Yes"/>
    <x v="0"/>
    <x v="0"/>
    <n v="3"/>
    <x v="0"/>
    <n v="0"/>
    <x v="3"/>
    <n v="3"/>
    <x v="1"/>
    <x v="11"/>
    <x v="3"/>
    <x v="1"/>
    <x v="3"/>
  </r>
  <r>
    <x v="17"/>
    <x v="1"/>
    <s v="Non-Travel"/>
    <n v="673"/>
    <x v="1"/>
    <n v="11"/>
    <n v="2"/>
    <s v="Other"/>
    <n v="1"/>
    <n v="26"/>
    <x v="3"/>
    <x v="0"/>
    <x v="16"/>
    <x v="2"/>
    <x v="0"/>
    <x v="3"/>
    <x v="2"/>
    <x v="2"/>
    <x v="20"/>
    <x v="20"/>
    <x v="4"/>
    <s v="Y"/>
    <s v="No"/>
    <x v="11"/>
    <x v="0"/>
    <n v="4"/>
    <x v="0"/>
    <n v="1"/>
    <x v="7"/>
    <n v="5"/>
    <x v="2"/>
    <x v="9"/>
    <x v="3"/>
    <x v="1"/>
    <x v="6"/>
  </r>
  <r>
    <x v="9"/>
    <x v="0"/>
    <s v="Travel_Rarely"/>
    <n v="1218"/>
    <x v="0"/>
    <n v="9"/>
    <n v="4"/>
    <s v="Life Sciences"/>
    <n v="1"/>
    <n v="27"/>
    <x v="1"/>
    <x v="1"/>
    <x v="19"/>
    <x v="1"/>
    <x v="1"/>
    <x v="6"/>
    <x v="3"/>
    <x v="0"/>
    <x v="21"/>
    <x v="21"/>
    <x v="8"/>
    <s v="Y"/>
    <s v="No"/>
    <x v="1"/>
    <x v="1"/>
    <n v="2"/>
    <x v="0"/>
    <n v="0"/>
    <x v="1"/>
    <n v="4"/>
    <x v="1"/>
    <x v="8"/>
    <x v="7"/>
    <x v="0"/>
    <x v="6"/>
  </r>
  <r>
    <x v="13"/>
    <x v="1"/>
    <s v="Travel_Rarely"/>
    <n v="419"/>
    <x v="1"/>
    <n v="7"/>
    <n v="4"/>
    <s v="Life Sciences"/>
    <n v="1"/>
    <n v="28"/>
    <x v="3"/>
    <x v="0"/>
    <x v="20"/>
    <x v="0"/>
    <x v="2"/>
    <x v="7"/>
    <x v="1"/>
    <x v="0"/>
    <x v="22"/>
    <x v="22"/>
    <x v="4"/>
    <s v="Y"/>
    <s v="No"/>
    <x v="0"/>
    <x v="0"/>
    <n v="3"/>
    <x v="0"/>
    <n v="0"/>
    <x v="10"/>
    <n v="4"/>
    <x v="1"/>
    <x v="12"/>
    <x v="8"/>
    <x v="3"/>
    <x v="7"/>
  </r>
  <r>
    <x v="18"/>
    <x v="1"/>
    <s v="Travel_Rarely"/>
    <n v="391"/>
    <x v="1"/>
    <n v="15"/>
    <n v="2"/>
    <s v="Life Sciences"/>
    <n v="1"/>
    <n v="30"/>
    <x v="1"/>
    <x v="1"/>
    <x v="16"/>
    <x v="0"/>
    <x v="1"/>
    <x v="1"/>
    <x v="0"/>
    <x v="0"/>
    <x v="23"/>
    <x v="23"/>
    <x v="1"/>
    <s v="Y"/>
    <s v="No"/>
    <x v="9"/>
    <x v="0"/>
    <n v="4"/>
    <x v="0"/>
    <n v="0"/>
    <x v="11"/>
    <n v="6"/>
    <x v="1"/>
    <x v="2"/>
    <x v="2"/>
    <x v="0"/>
    <x v="2"/>
  </r>
  <r>
    <x v="13"/>
    <x v="0"/>
    <s v="Travel_Rarely"/>
    <n v="699"/>
    <x v="1"/>
    <n v="6"/>
    <n v="1"/>
    <s v="Medical"/>
    <n v="1"/>
    <n v="31"/>
    <x v="0"/>
    <x v="1"/>
    <x v="21"/>
    <x v="0"/>
    <x v="1"/>
    <x v="1"/>
    <x v="3"/>
    <x v="0"/>
    <x v="24"/>
    <x v="24"/>
    <x v="7"/>
    <s v="Y"/>
    <s v="No"/>
    <x v="0"/>
    <x v="0"/>
    <n v="3"/>
    <x v="0"/>
    <n v="0"/>
    <x v="0"/>
    <n v="2"/>
    <x v="1"/>
    <x v="9"/>
    <x v="3"/>
    <x v="1"/>
    <x v="6"/>
  </r>
  <r>
    <x v="16"/>
    <x v="1"/>
    <s v="Travel_Rarely"/>
    <n v="1282"/>
    <x v="1"/>
    <n v="5"/>
    <n v="3"/>
    <s v="Other"/>
    <n v="1"/>
    <n v="32"/>
    <x v="1"/>
    <x v="0"/>
    <x v="22"/>
    <x v="0"/>
    <x v="4"/>
    <x v="5"/>
    <x v="2"/>
    <x v="2"/>
    <x v="25"/>
    <x v="25"/>
    <x v="5"/>
    <s v="Y"/>
    <s v="No"/>
    <x v="0"/>
    <x v="0"/>
    <n v="4"/>
    <x v="0"/>
    <n v="1"/>
    <x v="12"/>
    <n v="3"/>
    <x v="2"/>
    <x v="13"/>
    <x v="9"/>
    <x v="5"/>
    <x v="5"/>
  </r>
  <r>
    <x v="5"/>
    <x v="0"/>
    <s v="Travel_Frequently"/>
    <n v="1125"/>
    <x v="1"/>
    <n v="16"/>
    <n v="1"/>
    <s v="Life Sciences"/>
    <n v="1"/>
    <n v="33"/>
    <x v="0"/>
    <x v="0"/>
    <x v="23"/>
    <x v="3"/>
    <x v="1"/>
    <x v="1"/>
    <x v="3"/>
    <x v="0"/>
    <x v="26"/>
    <x v="26"/>
    <x v="1"/>
    <s v="Y"/>
    <s v="Yes"/>
    <x v="6"/>
    <x v="1"/>
    <n v="2"/>
    <x v="0"/>
    <n v="0"/>
    <x v="1"/>
    <n v="5"/>
    <x v="1"/>
    <x v="1"/>
    <x v="3"/>
    <x v="7"/>
    <x v="1"/>
  </r>
  <r>
    <x v="19"/>
    <x v="1"/>
    <s v="Travel_Rarely"/>
    <n v="691"/>
    <x v="0"/>
    <n v="8"/>
    <n v="4"/>
    <s v="Marketing"/>
    <n v="1"/>
    <n v="35"/>
    <x v="1"/>
    <x v="1"/>
    <x v="24"/>
    <x v="0"/>
    <x v="0"/>
    <x v="0"/>
    <x v="1"/>
    <x v="1"/>
    <x v="27"/>
    <x v="27"/>
    <x v="4"/>
    <s v="Y"/>
    <s v="No"/>
    <x v="0"/>
    <x v="0"/>
    <n v="4"/>
    <x v="0"/>
    <n v="1"/>
    <x v="1"/>
    <n v="2"/>
    <x v="1"/>
    <x v="7"/>
    <x v="1"/>
    <x v="5"/>
    <x v="3"/>
  </r>
  <r>
    <x v="20"/>
    <x v="1"/>
    <s v="Travel_Rarely"/>
    <n v="477"/>
    <x v="1"/>
    <n v="7"/>
    <n v="4"/>
    <s v="Medical"/>
    <n v="1"/>
    <n v="36"/>
    <x v="3"/>
    <x v="0"/>
    <x v="25"/>
    <x v="1"/>
    <x v="2"/>
    <x v="4"/>
    <x v="0"/>
    <x v="1"/>
    <x v="28"/>
    <x v="28"/>
    <x v="9"/>
    <s v="Y"/>
    <s v="No"/>
    <x v="9"/>
    <x v="0"/>
    <n v="4"/>
    <x v="0"/>
    <n v="1"/>
    <x v="13"/>
    <n v="4"/>
    <x v="1"/>
    <x v="14"/>
    <x v="8"/>
    <x v="8"/>
    <x v="8"/>
  </r>
  <r>
    <x v="21"/>
    <x v="1"/>
    <s v="Travel_Rarely"/>
    <n v="705"/>
    <x v="0"/>
    <n v="2"/>
    <n v="4"/>
    <s v="Marketing"/>
    <n v="1"/>
    <n v="38"/>
    <x v="0"/>
    <x v="0"/>
    <x v="21"/>
    <x v="0"/>
    <x v="4"/>
    <x v="5"/>
    <x v="3"/>
    <x v="0"/>
    <x v="29"/>
    <x v="29"/>
    <x v="9"/>
    <s v="Y"/>
    <s v="No"/>
    <x v="3"/>
    <x v="0"/>
    <n v="4"/>
    <x v="0"/>
    <n v="0"/>
    <x v="14"/>
    <n v="2"/>
    <x v="2"/>
    <x v="4"/>
    <x v="3"/>
    <x v="3"/>
    <x v="9"/>
  </r>
  <r>
    <x v="3"/>
    <x v="1"/>
    <s v="Travel_Rarely"/>
    <n v="924"/>
    <x v="1"/>
    <n v="2"/>
    <n v="3"/>
    <s v="Medical"/>
    <n v="1"/>
    <n v="39"/>
    <x v="1"/>
    <x v="1"/>
    <x v="17"/>
    <x v="0"/>
    <x v="1"/>
    <x v="2"/>
    <x v="0"/>
    <x v="0"/>
    <x v="30"/>
    <x v="30"/>
    <x v="5"/>
    <s v="Y"/>
    <s v="No"/>
    <x v="0"/>
    <x v="0"/>
    <n v="4"/>
    <x v="0"/>
    <n v="0"/>
    <x v="2"/>
    <n v="3"/>
    <x v="1"/>
    <x v="6"/>
    <x v="10"/>
    <x v="0"/>
    <x v="2"/>
  </r>
  <r>
    <x v="20"/>
    <x v="1"/>
    <s v="Travel_Rarely"/>
    <n v="1459"/>
    <x v="1"/>
    <n v="10"/>
    <n v="4"/>
    <s v="Other"/>
    <n v="1"/>
    <n v="40"/>
    <x v="2"/>
    <x v="1"/>
    <x v="26"/>
    <x v="0"/>
    <x v="0"/>
    <x v="4"/>
    <x v="0"/>
    <x v="1"/>
    <x v="31"/>
    <x v="31"/>
    <x v="7"/>
    <s v="Y"/>
    <s v="Yes"/>
    <x v="4"/>
    <x v="0"/>
    <n v="4"/>
    <x v="0"/>
    <n v="0"/>
    <x v="15"/>
    <n v="5"/>
    <x v="3"/>
    <x v="9"/>
    <x v="3"/>
    <x v="1"/>
    <x v="6"/>
  </r>
  <r>
    <x v="7"/>
    <x v="1"/>
    <s v="Travel_Rarely"/>
    <n v="125"/>
    <x v="1"/>
    <n v="9"/>
    <n v="2"/>
    <s v="Medical"/>
    <n v="1"/>
    <n v="41"/>
    <x v="2"/>
    <x v="1"/>
    <x v="21"/>
    <x v="1"/>
    <x v="1"/>
    <x v="2"/>
    <x v="2"/>
    <x v="0"/>
    <x v="32"/>
    <x v="32"/>
    <x v="1"/>
    <s v="Y"/>
    <s v="No"/>
    <x v="4"/>
    <x v="0"/>
    <n v="1"/>
    <x v="0"/>
    <n v="0"/>
    <x v="1"/>
    <n v="5"/>
    <x v="1"/>
    <x v="1"/>
    <x v="2"/>
    <x v="1"/>
    <x v="5"/>
  </r>
  <r>
    <x v="22"/>
    <x v="0"/>
    <s v="Travel_Rarely"/>
    <n v="895"/>
    <x v="0"/>
    <n v="5"/>
    <n v="3"/>
    <s v="Technical Degree"/>
    <n v="1"/>
    <n v="42"/>
    <x v="2"/>
    <x v="1"/>
    <x v="3"/>
    <x v="0"/>
    <x v="0"/>
    <x v="6"/>
    <x v="0"/>
    <x v="1"/>
    <x v="33"/>
    <x v="33"/>
    <x v="9"/>
    <s v="Y"/>
    <s v="No"/>
    <x v="9"/>
    <x v="0"/>
    <n v="3"/>
    <x v="0"/>
    <n v="1"/>
    <x v="16"/>
    <n v="6"/>
    <x v="3"/>
    <x v="6"/>
    <x v="2"/>
    <x v="0"/>
    <x v="2"/>
  </r>
  <r>
    <x v="17"/>
    <x v="0"/>
    <s v="Travel_Rarely"/>
    <n v="813"/>
    <x v="1"/>
    <n v="1"/>
    <n v="3"/>
    <s v="Medical"/>
    <n v="1"/>
    <n v="45"/>
    <x v="0"/>
    <x v="1"/>
    <x v="1"/>
    <x v="0"/>
    <x v="1"/>
    <x v="1"/>
    <x v="0"/>
    <x v="1"/>
    <x v="34"/>
    <x v="34"/>
    <x v="7"/>
    <s v="Y"/>
    <s v="Yes"/>
    <x v="10"/>
    <x v="0"/>
    <n v="1"/>
    <x v="0"/>
    <n v="1"/>
    <x v="3"/>
    <n v="2"/>
    <x v="2"/>
    <x v="4"/>
    <x v="2"/>
    <x v="3"/>
    <x v="2"/>
  </r>
  <r>
    <x v="23"/>
    <x v="1"/>
    <s v="Travel_Rarely"/>
    <n v="1273"/>
    <x v="1"/>
    <n v="2"/>
    <n v="2"/>
    <s v="Medical"/>
    <n v="1"/>
    <n v="46"/>
    <x v="2"/>
    <x v="0"/>
    <x v="23"/>
    <x v="2"/>
    <x v="1"/>
    <x v="1"/>
    <x v="2"/>
    <x v="2"/>
    <x v="35"/>
    <x v="35"/>
    <x v="1"/>
    <s v="Y"/>
    <s v="No"/>
    <x v="3"/>
    <x v="0"/>
    <n v="4"/>
    <x v="0"/>
    <n v="2"/>
    <x v="3"/>
    <n v="3"/>
    <x v="2"/>
    <x v="8"/>
    <x v="7"/>
    <x v="1"/>
    <x v="10"/>
  </r>
  <r>
    <x v="24"/>
    <x v="0"/>
    <s v="Travel_Rarely"/>
    <n v="869"/>
    <x v="0"/>
    <n v="3"/>
    <n v="2"/>
    <s v="Marketing"/>
    <n v="1"/>
    <n v="47"/>
    <x v="3"/>
    <x v="1"/>
    <x v="27"/>
    <x v="1"/>
    <x v="1"/>
    <x v="6"/>
    <x v="2"/>
    <x v="1"/>
    <x v="36"/>
    <x v="36"/>
    <x v="1"/>
    <s v="Y"/>
    <s v="Yes"/>
    <x v="9"/>
    <x v="0"/>
    <n v="3"/>
    <x v="0"/>
    <n v="0"/>
    <x v="8"/>
    <n v="2"/>
    <x v="1"/>
    <x v="11"/>
    <x v="3"/>
    <x v="0"/>
    <x v="3"/>
  </r>
  <r>
    <x v="10"/>
    <x v="1"/>
    <s v="Travel_Rarely"/>
    <n v="890"/>
    <x v="0"/>
    <n v="2"/>
    <n v="3"/>
    <s v="Marketing"/>
    <n v="1"/>
    <n v="49"/>
    <x v="2"/>
    <x v="0"/>
    <x v="28"/>
    <x v="0"/>
    <x v="1"/>
    <x v="6"/>
    <x v="0"/>
    <x v="1"/>
    <x v="37"/>
    <x v="37"/>
    <x v="1"/>
    <s v="Y"/>
    <s v="No"/>
    <x v="4"/>
    <x v="0"/>
    <n v="1"/>
    <x v="0"/>
    <n v="0"/>
    <x v="17"/>
    <n v="3"/>
    <x v="1"/>
    <x v="4"/>
    <x v="3"/>
    <x v="3"/>
    <x v="3"/>
  </r>
  <r>
    <x v="9"/>
    <x v="1"/>
    <s v="Travel_Rarely"/>
    <n v="852"/>
    <x v="1"/>
    <n v="5"/>
    <n v="4"/>
    <s v="Life Sciences"/>
    <n v="1"/>
    <n v="51"/>
    <x v="0"/>
    <x v="0"/>
    <x v="19"/>
    <x v="1"/>
    <x v="1"/>
    <x v="1"/>
    <x v="3"/>
    <x v="1"/>
    <x v="38"/>
    <x v="38"/>
    <x v="3"/>
    <s v="Y"/>
    <s v="Yes"/>
    <x v="9"/>
    <x v="0"/>
    <n v="4"/>
    <x v="0"/>
    <n v="1"/>
    <x v="3"/>
    <n v="3"/>
    <x v="3"/>
    <x v="6"/>
    <x v="10"/>
    <x v="0"/>
    <x v="2"/>
  </r>
  <r>
    <x v="3"/>
    <x v="1"/>
    <s v="Travel_Frequently"/>
    <n v="1141"/>
    <x v="0"/>
    <n v="1"/>
    <n v="3"/>
    <s v="Life Sciences"/>
    <n v="1"/>
    <n v="52"/>
    <x v="1"/>
    <x v="0"/>
    <x v="25"/>
    <x v="2"/>
    <x v="0"/>
    <x v="0"/>
    <x v="3"/>
    <x v="1"/>
    <x v="39"/>
    <x v="39"/>
    <x v="7"/>
    <s v="Y"/>
    <s v="No"/>
    <x v="12"/>
    <x v="0"/>
    <n v="1"/>
    <x v="0"/>
    <n v="2"/>
    <x v="1"/>
    <n v="3"/>
    <x v="1"/>
    <x v="8"/>
    <x v="7"/>
    <x v="1"/>
    <x v="6"/>
  </r>
  <r>
    <x v="10"/>
    <x v="1"/>
    <s v="Travel_Rarely"/>
    <n v="464"/>
    <x v="1"/>
    <n v="4"/>
    <n v="2"/>
    <s v="Other"/>
    <n v="1"/>
    <n v="53"/>
    <x v="1"/>
    <x v="1"/>
    <x v="29"/>
    <x v="0"/>
    <x v="1"/>
    <x v="2"/>
    <x v="0"/>
    <x v="2"/>
    <x v="40"/>
    <x v="40"/>
    <x v="1"/>
    <s v="Y"/>
    <s v="No"/>
    <x v="3"/>
    <x v="0"/>
    <n v="3"/>
    <x v="0"/>
    <n v="1"/>
    <x v="5"/>
    <n v="3"/>
    <x v="1"/>
    <x v="6"/>
    <x v="2"/>
    <x v="0"/>
    <x v="2"/>
  </r>
  <r>
    <x v="4"/>
    <x v="1"/>
    <s v="Travel_Rarely"/>
    <n v="1240"/>
    <x v="1"/>
    <n v="2"/>
    <n v="4"/>
    <s v="Life Sciences"/>
    <n v="1"/>
    <n v="54"/>
    <x v="2"/>
    <x v="0"/>
    <x v="30"/>
    <x v="0"/>
    <x v="1"/>
    <x v="2"/>
    <x v="3"/>
    <x v="2"/>
    <x v="41"/>
    <x v="41"/>
    <x v="1"/>
    <s v="Y"/>
    <s v="No"/>
    <x v="4"/>
    <x v="0"/>
    <n v="4"/>
    <x v="0"/>
    <n v="1"/>
    <x v="5"/>
    <n v="6"/>
    <x v="1"/>
    <x v="6"/>
    <x v="2"/>
    <x v="0"/>
    <x v="2"/>
  </r>
  <r>
    <x v="25"/>
    <x v="0"/>
    <s v="Travel_Rarely"/>
    <n v="1357"/>
    <x v="1"/>
    <n v="25"/>
    <n v="3"/>
    <s v="Life Sciences"/>
    <n v="1"/>
    <n v="55"/>
    <x v="3"/>
    <x v="1"/>
    <x v="24"/>
    <x v="3"/>
    <x v="1"/>
    <x v="2"/>
    <x v="2"/>
    <x v="0"/>
    <x v="34"/>
    <x v="42"/>
    <x v="1"/>
    <s v="Y"/>
    <s v="No"/>
    <x v="3"/>
    <x v="0"/>
    <n v="3"/>
    <x v="0"/>
    <n v="0"/>
    <x v="5"/>
    <n v="2"/>
    <x v="2"/>
    <x v="6"/>
    <x v="2"/>
    <x v="0"/>
    <x v="9"/>
  </r>
  <r>
    <x v="4"/>
    <x v="1"/>
    <s v="Travel_Frequently"/>
    <n v="994"/>
    <x v="0"/>
    <n v="8"/>
    <n v="3"/>
    <s v="Life Sciences"/>
    <n v="1"/>
    <n v="56"/>
    <x v="2"/>
    <x v="1"/>
    <x v="31"/>
    <x v="0"/>
    <x v="2"/>
    <x v="0"/>
    <x v="2"/>
    <x v="0"/>
    <x v="42"/>
    <x v="43"/>
    <x v="1"/>
    <s v="Y"/>
    <s v="No"/>
    <x v="2"/>
    <x v="0"/>
    <n v="4"/>
    <x v="0"/>
    <n v="0"/>
    <x v="15"/>
    <n v="0"/>
    <x v="1"/>
    <x v="7"/>
    <x v="6"/>
    <x v="1"/>
    <x v="1"/>
  </r>
  <r>
    <x v="7"/>
    <x v="1"/>
    <s v="Travel_Frequently"/>
    <n v="721"/>
    <x v="1"/>
    <n v="1"/>
    <n v="2"/>
    <s v="Medical"/>
    <n v="1"/>
    <n v="57"/>
    <x v="1"/>
    <x v="0"/>
    <x v="22"/>
    <x v="0"/>
    <x v="0"/>
    <x v="2"/>
    <x v="0"/>
    <x v="0"/>
    <x v="20"/>
    <x v="44"/>
    <x v="1"/>
    <s v="Y"/>
    <s v="No"/>
    <x v="1"/>
    <x v="1"/>
    <n v="4"/>
    <x v="0"/>
    <n v="0"/>
    <x v="4"/>
    <n v="2"/>
    <x v="1"/>
    <x v="12"/>
    <x v="6"/>
    <x v="2"/>
    <x v="1"/>
  </r>
  <r>
    <x v="0"/>
    <x v="0"/>
    <s v="Travel_Rarely"/>
    <n v="1360"/>
    <x v="1"/>
    <n v="12"/>
    <n v="3"/>
    <s v="Technical Degree"/>
    <n v="1"/>
    <n v="58"/>
    <x v="0"/>
    <x v="0"/>
    <x v="10"/>
    <x v="0"/>
    <x v="4"/>
    <x v="7"/>
    <x v="2"/>
    <x v="1"/>
    <x v="43"/>
    <x v="45"/>
    <x v="1"/>
    <s v="Y"/>
    <s v="No"/>
    <x v="3"/>
    <x v="0"/>
    <n v="4"/>
    <x v="0"/>
    <n v="0"/>
    <x v="18"/>
    <n v="0"/>
    <x v="1"/>
    <x v="14"/>
    <x v="11"/>
    <x v="9"/>
    <x v="5"/>
  </r>
  <r>
    <x v="13"/>
    <x v="1"/>
    <s v="Non-Travel"/>
    <n v="1065"/>
    <x v="0"/>
    <n v="23"/>
    <n v="4"/>
    <s v="Marketing"/>
    <n v="1"/>
    <n v="60"/>
    <x v="0"/>
    <x v="1"/>
    <x v="23"/>
    <x v="0"/>
    <x v="0"/>
    <x v="0"/>
    <x v="2"/>
    <x v="0"/>
    <x v="44"/>
    <x v="46"/>
    <x v="4"/>
    <s v="Y"/>
    <s v="No"/>
    <x v="5"/>
    <x v="1"/>
    <n v="3"/>
    <x v="0"/>
    <n v="0"/>
    <x v="1"/>
    <n v="2"/>
    <x v="1"/>
    <x v="7"/>
    <x v="4"/>
    <x v="6"/>
    <x v="1"/>
  </r>
  <r>
    <x v="2"/>
    <x v="1"/>
    <s v="Travel_Rarely"/>
    <n v="408"/>
    <x v="1"/>
    <n v="19"/>
    <n v="2"/>
    <s v="Life Sciences"/>
    <n v="1"/>
    <n v="61"/>
    <x v="0"/>
    <x v="1"/>
    <x v="32"/>
    <x v="0"/>
    <x v="1"/>
    <x v="1"/>
    <x v="1"/>
    <x v="1"/>
    <x v="45"/>
    <x v="47"/>
    <x v="5"/>
    <s v="Y"/>
    <s v="No"/>
    <x v="7"/>
    <x v="1"/>
    <n v="1"/>
    <x v="0"/>
    <n v="0"/>
    <x v="0"/>
    <n v="1"/>
    <x v="1"/>
    <x v="6"/>
    <x v="2"/>
    <x v="0"/>
    <x v="2"/>
  </r>
  <r>
    <x v="21"/>
    <x v="1"/>
    <s v="Travel_Frequently"/>
    <n v="1211"/>
    <x v="0"/>
    <n v="5"/>
    <n v="4"/>
    <s v="Marketing"/>
    <n v="1"/>
    <n v="62"/>
    <x v="3"/>
    <x v="1"/>
    <x v="33"/>
    <x v="0"/>
    <x v="0"/>
    <x v="0"/>
    <x v="0"/>
    <x v="0"/>
    <x v="46"/>
    <x v="48"/>
    <x v="5"/>
    <s v="Y"/>
    <s v="Yes"/>
    <x v="7"/>
    <x v="1"/>
    <n v="3"/>
    <x v="0"/>
    <n v="0"/>
    <x v="19"/>
    <n v="4"/>
    <x v="1"/>
    <x v="7"/>
    <x v="8"/>
    <x v="0"/>
    <x v="5"/>
  </r>
  <r>
    <x v="10"/>
    <x v="1"/>
    <s v="Travel_Rarely"/>
    <n v="1229"/>
    <x v="1"/>
    <n v="8"/>
    <n v="1"/>
    <s v="Life Sciences"/>
    <n v="1"/>
    <n v="63"/>
    <x v="2"/>
    <x v="1"/>
    <x v="34"/>
    <x v="2"/>
    <x v="1"/>
    <x v="2"/>
    <x v="0"/>
    <x v="1"/>
    <x v="47"/>
    <x v="49"/>
    <x v="1"/>
    <s v="Y"/>
    <s v="No"/>
    <x v="12"/>
    <x v="0"/>
    <n v="4"/>
    <x v="0"/>
    <n v="0"/>
    <x v="5"/>
    <n v="2"/>
    <x v="1"/>
    <x v="6"/>
    <x v="2"/>
    <x v="0"/>
    <x v="9"/>
  </r>
  <r>
    <x v="26"/>
    <x v="0"/>
    <s v="Travel_Rarely"/>
    <n v="626"/>
    <x v="1"/>
    <n v="1"/>
    <n v="2"/>
    <s v="Life Sciences"/>
    <n v="1"/>
    <n v="64"/>
    <x v="3"/>
    <x v="1"/>
    <x v="33"/>
    <x v="1"/>
    <x v="2"/>
    <x v="2"/>
    <x v="2"/>
    <x v="0"/>
    <x v="48"/>
    <x v="50"/>
    <x v="3"/>
    <s v="Y"/>
    <s v="Yes"/>
    <x v="4"/>
    <x v="0"/>
    <n v="4"/>
    <x v="0"/>
    <n v="0"/>
    <x v="18"/>
    <n v="2"/>
    <x v="1"/>
    <x v="6"/>
    <x v="2"/>
    <x v="0"/>
    <x v="2"/>
  </r>
  <r>
    <x v="14"/>
    <x v="0"/>
    <s v="Travel_Rarely"/>
    <n v="1434"/>
    <x v="1"/>
    <n v="5"/>
    <n v="4"/>
    <s v="Technical Degree"/>
    <n v="1"/>
    <n v="65"/>
    <x v="1"/>
    <x v="1"/>
    <x v="13"/>
    <x v="0"/>
    <x v="1"/>
    <x v="2"/>
    <x v="2"/>
    <x v="0"/>
    <x v="49"/>
    <x v="51"/>
    <x v="1"/>
    <s v="Y"/>
    <s v="Yes"/>
    <x v="4"/>
    <x v="0"/>
    <n v="3"/>
    <x v="0"/>
    <n v="0"/>
    <x v="17"/>
    <n v="3"/>
    <x v="2"/>
    <x v="4"/>
    <x v="3"/>
    <x v="3"/>
    <x v="3"/>
  </r>
  <r>
    <x v="20"/>
    <x v="1"/>
    <s v="Travel_Rarely"/>
    <n v="1488"/>
    <x v="0"/>
    <n v="1"/>
    <n v="5"/>
    <s v="Marketing"/>
    <n v="1"/>
    <n v="68"/>
    <x v="0"/>
    <x v="0"/>
    <x v="29"/>
    <x v="0"/>
    <x v="0"/>
    <x v="0"/>
    <x v="3"/>
    <x v="2"/>
    <x v="50"/>
    <x v="52"/>
    <x v="6"/>
    <s v="Y"/>
    <s v="Yes"/>
    <x v="7"/>
    <x v="1"/>
    <n v="3"/>
    <x v="0"/>
    <n v="1"/>
    <x v="15"/>
    <n v="2"/>
    <x v="2"/>
    <x v="9"/>
    <x v="7"/>
    <x v="1"/>
    <x v="6"/>
  </r>
  <r>
    <x v="10"/>
    <x v="1"/>
    <s v="Non-Travel"/>
    <n v="1097"/>
    <x v="1"/>
    <n v="11"/>
    <n v="2"/>
    <s v="Medical"/>
    <n v="1"/>
    <n v="70"/>
    <x v="1"/>
    <x v="1"/>
    <x v="5"/>
    <x v="1"/>
    <x v="2"/>
    <x v="4"/>
    <x v="3"/>
    <x v="1"/>
    <x v="51"/>
    <x v="53"/>
    <x v="7"/>
    <s v="Y"/>
    <s v="Yes"/>
    <x v="4"/>
    <x v="0"/>
    <n v="3"/>
    <x v="0"/>
    <n v="1"/>
    <x v="1"/>
    <n v="3"/>
    <x v="1"/>
    <x v="9"/>
    <x v="2"/>
    <x v="3"/>
    <x v="6"/>
  </r>
  <r>
    <x v="25"/>
    <x v="1"/>
    <s v="Travel_Rarely"/>
    <n v="1443"/>
    <x v="0"/>
    <n v="23"/>
    <n v="3"/>
    <s v="Marketing"/>
    <n v="1"/>
    <n v="72"/>
    <x v="1"/>
    <x v="0"/>
    <x v="35"/>
    <x v="1"/>
    <x v="0"/>
    <x v="0"/>
    <x v="0"/>
    <x v="1"/>
    <x v="52"/>
    <x v="54"/>
    <x v="8"/>
    <s v="Y"/>
    <s v="Yes"/>
    <x v="12"/>
    <x v="0"/>
    <n v="3"/>
    <x v="0"/>
    <n v="1"/>
    <x v="7"/>
    <n v="2"/>
    <x v="2"/>
    <x v="4"/>
    <x v="3"/>
    <x v="0"/>
    <x v="2"/>
  </r>
  <r>
    <x v="3"/>
    <x v="1"/>
    <s v="Travel_Frequently"/>
    <n v="515"/>
    <x v="1"/>
    <n v="1"/>
    <n v="2"/>
    <s v="Life Sciences"/>
    <n v="1"/>
    <n v="73"/>
    <x v="3"/>
    <x v="0"/>
    <x v="33"/>
    <x v="0"/>
    <x v="2"/>
    <x v="7"/>
    <x v="0"/>
    <x v="0"/>
    <x v="53"/>
    <x v="55"/>
    <x v="1"/>
    <s v="Y"/>
    <s v="Yes"/>
    <x v="3"/>
    <x v="0"/>
    <n v="3"/>
    <x v="0"/>
    <n v="0"/>
    <x v="20"/>
    <n v="1"/>
    <x v="1"/>
    <x v="15"/>
    <x v="12"/>
    <x v="6"/>
    <x v="11"/>
  </r>
  <r>
    <x v="10"/>
    <x v="1"/>
    <s v="Travel_Frequently"/>
    <n v="853"/>
    <x v="0"/>
    <n v="18"/>
    <n v="5"/>
    <s v="Life Sciences"/>
    <n v="1"/>
    <n v="74"/>
    <x v="0"/>
    <x v="1"/>
    <x v="36"/>
    <x v="0"/>
    <x v="2"/>
    <x v="0"/>
    <x v="3"/>
    <x v="1"/>
    <x v="54"/>
    <x v="56"/>
    <x v="1"/>
    <s v="Y"/>
    <s v="No"/>
    <x v="6"/>
    <x v="1"/>
    <n v="4"/>
    <x v="0"/>
    <n v="1"/>
    <x v="15"/>
    <n v="3"/>
    <x v="2"/>
    <x v="7"/>
    <x v="6"/>
    <x v="1"/>
    <x v="5"/>
  </r>
  <r>
    <x v="10"/>
    <x v="1"/>
    <s v="Travel_Rarely"/>
    <n v="1142"/>
    <x v="1"/>
    <n v="23"/>
    <n v="4"/>
    <s v="Medical"/>
    <n v="1"/>
    <n v="75"/>
    <x v="1"/>
    <x v="0"/>
    <x v="37"/>
    <x v="0"/>
    <x v="1"/>
    <x v="2"/>
    <x v="3"/>
    <x v="1"/>
    <x v="55"/>
    <x v="57"/>
    <x v="9"/>
    <s v="Y"/>
    <s v="Yes"/>
    <x v="2"/>
    <x v="0"/>
    <n v="3"/>
    <x v="0"/>
    <n v="1"/>
    <x v="21"/>
    <n v="3"/>
    <x v="1"/>
    <x v="4"/>
    <x v="3"/>
    <x v="3"/>
    <x v="3"/>
  </r>
  <r>
    <x v="12"/>
    <x v="1"/>
    <s v="Travel_Rarely"/>
    <n v="655"/>
    <x v="1"/>
    <n v="7"/>
    <n v="4"/>
    <s v="Life Sciences"/>
    <n v="1"/>
    <n v="76"/>
    <x v="2"/>
    <x v="1"/>
    <x v="24"/>
    <x v="0"/>
    <x v="0"/>
    <x v="2"/>
    <x v="0"/>
    <x v="2"/>
    <x v="56"/>
    <x v="58"/>
    <x v="9"/>
    <s v="Y"/>
    <s v="No"/>
    <x v="6"/>
    <x v="1"/>
    <n v="4"/>
    <x v="0"/>
    <n v="1"/>
    <x v="1"/>
    <n v="3"/>
    <x v="2"/>
    <x v="5"/>
    <x v="1"/>
    <x v="1"/>
    <x v="1"/>
  </r>
  <r>
    <x v="2"/>
    <x v="1"/>
    <s v="Travel_Rarely"/>
    <n v="1115"/>
    <x v="1"/>
    <n v="1"/>
    <n v="4"/>
    <s v="Life Sciences"/>
    <n v="1"/>
    <n v="77"/>
    <x v="3"/>
    <x v="1"/>
    <x v="14"/>
    <x v="1"/>
    <x v="0"/>
    <x v="3"/>
    <x v="2"/>
    <x v="2"/>
    <x v="0"/>
    <x v="59"/>
    <x v="1"/>
    <s v="Y"/>
    <s v="No"/>
    <x v="11"/>
    <x v="0"/>
    <n v="3"/>
    <x v="0"/>
    <n v="1"/>
    <x v="2"/>
    <n v="2"/>
    <x v="3"/>
    <x v="5"/>
    <x v="4"/>
    <x v="0"/>
    <x v="1"/>
  </r>
  <r>
    <x v="5"/>
    <x v="1"/>
    <s v="Travel_Rarely"/>
    <n v="427"/>
    <x v="1"/>
    <n v="1"/>
    <n v="3"/>
    <s v="Medical"/>
    <n v="1"/>
    <n v="78"/>
    <x v="3"/>
    <x v="1"/>
    <x v="30"/>
    <x v="0"/>
    <x v="0"/>
    <x v="3"/>
    <x v="0"/>
    <x v="1"/>
    <x v="57"/>
    <x v="60"/>
    <x v="1"/>
    <s v="Y"/>
    <s v="Yes"/>
    <x v="6"/>
    <x v="1"/>
    <n v="2"/>
    <x v="0"/>
    <n v="1"/>
    <x v="15"/>
    <n v="3"/>
    <x v="1"/>
    <x v="7"/>
    <x v="6"/>
    <x v="4"/>
    <x v="5"/>
  </r>
  <r>
    <x v="8"/>
    <x v="1"/>
    <s v="Travel_Frequently"/>
    <n v="653"/>
    <x v="1"/>
    <n v="29"/>
    <n v="5"/>
    <s v="Life Sciences"/>
    <n v="1"/>
    <n v="79"/>
    <x v="2"/>
    <x v="0"/>
    <x v="13"/>
    <x v="0"/>
    <x v="0"/>
    <x v="2"/>
    <x v="0"/>
    <x v="0"/>
    <x v="58"/>
    <x v="61"/>
    <x v="1"/>
    <s v="Y"/>
    <s v="No"/>
    <x v="0"/>
    <x v="0"/>
    <n v="4"/>
    <x v="0"/>
    <n v="0"/>
    <x v="1"/>
    <n v="2"/>
    <x v="1"/>
    <x v="1"/>
    <x v="7"/>
    <x v="10"/>
    <x v="12"/>
  </r>
  <r>
    <x v="24"/>
    <x v="1"/>
    <s v="Travel_Rarely"/>
    <n v="989"/>
    <x v="1"/>
    <n v="7"/>
    <n v="2"/>
    <s v="Medical"/>
    <n v="1"/>
    <n v="80"/>
    <x v="0"/>
    <x v="0"/>
    <x v="38"/>
    <x v="1"/>
    <x v="4"/>
    <x v="7"/>
    <x v="2"/>
    <x v="2"/>
    <x v="59"/>
    <x v="62"/>
    <x v="6"/>
    <s v="Y"/>
    <s v="Yes"/>
    <x v="3"/>
    <x v="0"/>
    <n v="4"/>
    <x v="0"/>
    <n v="1"/>
    <x v="22"/>
    <n v="2"/>
    <x v="2"/>
    <x v="16"/>
    <x v="7"/>
    <x v="11"/>
    <x v="5"/>
  </r>
  <r>
    <x v="6"/>
    <x v="1"/>
    <s v="Travel_Rarely"/>
    <n v="1435"/>
    <x v="0"/>
    <n v="25"/>
    <n v="3"/>
    <s v="Life Sciences"/>
    <n v="1"/>
    <n v="81"/>
    <x v="3"/>
    <x v="0"/>
    <x v="39"/>
    <x v="0"/>
    <x v="2"/>
    <x v="0"/>
    <x v="3"/>
    <x v="0"/>
    <x v="60"/>
    <x v="63"/>
    <x v="8"/>
    <s v="Y"/>
    <s v="No"/>
    <x v="0"/>
    <x v="0"/>
    <n v="4"/>
    <x v="0"/>
    <n v="0"/>
    <x v="23"/>
    <n v="3"/>
    <x v="2"/>
    <x v="17"/>
    <x v="13"/>
    <x v="4"/>
    <x v="12"/>
  </r>
  <r>
    <x v="9"/>
    <x v="1"/>
    <s v="Travel_Rarely"/>
    <n v="1223"/>
    <x v="1"/>
    <n v="8"/>
    <n v="3"/>
    <s v="Technical Degree"/>
    <n v="1"/>
    <n v="83"/>
    <x v="1"/>
    <x v="0"/>
    <x v="40"/>
    <x v="0"/>
    <x v="2"/>
    <x v="4"/>
    <x v="2"/>
    <x v="2"/>
    <x v="61"/>
    <x v="64"/>
    <x v="1"/>
    <s v="Y"/>
    <s v="No"/>
    <x v="4"/>
    <x v="0"/>
    <n v="2"/>
    <x v="0"/>
    <n v="3"/>
    <x v="6"/>
    <n v="2"/>
    <x v="1"/>
    <x v="18"/>
    <x v="12"/>
    <x v="12"/>
    <x v="5"/>
  </r>
  <r>
    <x v="27"/>
    <x v="1"/>
    <s v="Travel_Rarely"/>
    <n v="836"/>
    <x v="1"/>
    <n v="8"/>
    <n v="3"/>
    <s v="Medical"/>
    <n v="1"/>
    <n v="84"/>
    <x v="2"/>
    <x v="0"/>
    <x v="30"/>
    <x v="0"/>
    <x v="3"/>
    <x v="5"/>
    <x v="2"/>
    <x v="2"/>
    <x v="62"/>
    <x v="65"/>
    <x v="7"/>
    <s v="Y"/>
    <s v="Yes"/>
    <x v="9"/>
    <x v="0"/>
    <n v="3"/>
    <x v="0"/>
    <n v="3"/>
    <x v="24"/>
    <n v="2"/>
    <x v="1"/>
    <x v="8"/>
    <x v="2"/>
    <x v="0"/>
    <x v="3"/>
  </r>
  <r>
    <x v="9"/>
    <x v="1"/>
    <s v="Travel_Frequently"/>
    <n v="1195"/>
    <x v="1"/>
    <n v="11"/>
    <n v="3"/>
    <s v="Life Sciences"/>
    <n v="1"/>
    <n v="85"/>
    <x v="0"/>
    <x v="1"/>
    <x v="41"/>
    <x v="1"/>
    <x v="0"/>
    <x v="3"/>
    <x v="1"/>
    <x v="0"/>
    <x v="63"/>
    <x v="66"/>
    <x v="1"/>
    <s v="Y"/>
    <s v="No"/>
    <x v="4"/>
    <x v="0"/>
    <n v="3"/>
    <x v="0"/>
    <n v="0"/>
    <x v="3"/>
    <n v="3"/>
    <x v="1"/>
    <x v="0"/>
    <x v="4"/>
    <x v="0"/>
    <x v="6"/>
  </r>
  <r>
    <x v="28"/>
    <x v="1"/>
    <s v="Travel_Rarely"/>
    <n v="1339"/>
    <x v="1"/>
    <n v="7"/>
    <n v="3"/>
    <s v="Life Sciences"/>
    <n v="1"/>
    <n v="86"/>
    <x v="0"/>
    <x v="1"/>
    <x v="40"/>
    <x v="0"/>
    <x v="2"/>
    <x v="1"/>
    <x v="3"/>
    <x v="2"/>
    <x v="64"/>
    <x v="67"/>
    <x v="7"/>
    <s v="Y"/>
    <s v="No"/>
    <x v="8"/>
    <x v="0"/>
    <n v="3"/>
    <x v="0"/>
    <n v="1"/>
    <x v="25"/>
    <n v="2"/>
    <x v="1"/>
    <x v="6"/>
    <x v="2"/>
    <x v="0"/>
    <x v="2"/>
  </r>
  <r>
    <x v="10"/>
    <x v="1"/>
    <s v="Travel_Frequently"/>
    <n v="664"/>
    <x v="1"/>
    <n v="1"/>
    <n v="3"/>
    <s v="Medical"/>
    <n v="1"/>
    <n v="88"/>
    <x v="0"/>
    <x v="1"/>
    <x v="5"/>
    <x v="0"/>
    <x v="1"/>
    <x v="1"/>
    <x v="3"/>
    <x v="1"/>
    <x v="65"/>
    <x v="68"/>
    <x v="5"/>
    <s v="Y"/>
    <s v="No"/>
    <x v="4"/>
    <x v="0"/>
    <n v="4"/>
    <x v="0"/>
    <n v="1"/>
    <x v="7"/>
    <n v="2"/>
    <x v="2"/>
    <x v="11"/>
    <x v="3"/>
    <x v="1"/>
    <x v="3"/>
  </r>
  <r>
    <x v="9"/>
    <x v="0"/>
    <s v="Travel_Rarely"/>
    <n v="318"/>
    <x v="1"/>
    <n v="9"/>
    <n v="3"/>
    <s v="Medical"/>
    <n v="1"/>
    <n v="90"/>
    <x v="2"/>
    <x v="1"/>
    <x v="5"/>
    <x v="1"/>
    <x v="1"/>
    <x v="1"/>
    <x v="2"/>
    <x v="1"/>
    <x v="66"/>
    <x v="69"/>
    <x v="4"/>
    <s v="Y"/>
    <s v="Yes"/>
    <x v="8"/>
    <x v="0"/>
    <n v="1"/>
    <x v="0"/>
    <n v="1"/>
    <x v="17"/>
    <n v="0"/>
    <x v="2"/>
    <x v="6"/>
    <x v="2"/>
    <x v="0"/>
    <x v="2"/>
  </r>
  <r>
    <x v="6"/>
    <x v="1"/>
    <s v="Travel_Frequently"/>
    <n v="1225"/>
    <x v="0"/>
    <n v="1"/>
    <n v="1"/>
    <s v="Life Sciences"/>
    <n v="1"/>
    <n v="91"/>
    <x v="3"/>
    <x v="0"/>
    <x v="42"/>
    <x v="1"/>
    <x v="0"/>
    <x v="0"/>
    <x v="2"/>
    <x v="0"/>
    <x v="67"/>
    <x v="70"/>
    <x v="8"/>
    <s v="Y"/>
    <s v="No"/>
    <x v="0"/>
    <x v="0"/>
    <n v="4"/>
    <x v="0"/>
    <n v="0"/>
    <x v="26"/>
    <n v="2"/>
    <x v="2"/>
    <x v="9"/>
    <x v="7"/>
    <x v="1"/>
    <x v="6"/>
  </r>
  <r>
    <x v="11"/>
    <x v="1"/>
    <s v="Travel_Rarely"/>
    <n v="1328"/>
    <x v="1"/>
    <n v="2"/>
    <n v="3"/>
    <s v="Life Sciences"/>
    <n v="1"/>
    <n v="94"/>
    <x v="1"/>
    <x v="1"/>
    <x v="43"/>
    <x v="0"/>
    <x v="1"/>
    <x v="1"/>
    <x v="1"/>
    <x v="1"/>
    <x v="68"/>
    <x v="71"/>
    <x v="4"/>
    <s v="Y"/>
    <s v="No"/>
    <x v="1"/>
    <x v="1"/>
    <n v="4"/>
    <x v="0"/>
    <n v="1"/>
    <x v="3"/>
    <n v="3"/>
    <x v="1"/>
    <x v="8"/>
    <x v="0"/>
    <x v="0"/>
    <x v="10"/>
  </r>
  <r>
    <x v="12"/>
    <x v="1"/>
    <s v="Travel_Rarely"/>
    <n v="1082"/>
    <x v="1"/>
    <n v="1"/>
    <n v="4"/>
    <s v="Medical"/>
    <n v="1"/>
    <n v="95"/>
    <x v="1"/>
    <x v="1"/>
    <x v="44"/>
    <x v="0"/>
    <x v="1"/>
    <x v="1"/>
    <x v="1"/>
    <x v="0"/>
    <x v="69"/>
    <x v="72"/>
    <x v="1"/>
    <s v="Y"/>
    <s v="No"/>
    <x v="8"/>
    <x v="0"/>
    <n v="2"/>
    <x v="0"/>
    <n v="0"/>
    <x v="5"/>
    <n v="4"/>
    <x v="1"/>
    <x v="6"/>
    <x v="10"/>
    <x v="1"/>
    <x v="2"/>
  </r>
  <r>
    <x v="5"/>
    <x v="1"/>
    <s v="Travel_Rarely"/>
    <n v="548"/>
    <x v="1"/>
    <n v="1"/>
    <n v="3"/>
    <s v="Life Sciences"/>
    <n v="1"/>
    <n v="96"/>
    <x v="0"/>
    <x v="1"/>
    <x v="45"/>
    <x v="0"/>
    <x v="0"/>
    <x v="1"/>
    <x v="1"/>
    <x v="1"/>
    <x v="70"/>
    <x v="73"/>
    <x v="1"/>
    <s v="Y"/>
    <s v="No"/>
    <x v="8"/>
    <x v="0"/>
    <n v="2"/>
    <x v="0"/>
    <n v="2"/>
    <x v="1"/>
    <n v="3"/>
    <x v="1"/>
    <x v="1"/>
    <x v="0"/>
    <x v="0"/>
    <x v="12"/>
  </r>
  <r>
    <x v="9"/>
    <x v="1"/>
    <s v="Travel_Rarely"/>
    <n v="132"/>
    <x v="1"/>
    <n v="6"/>
    <n v="3"/>
    <s v="Life Sciences"/>
    <n v="1"/>
    <n v="97"/>
    <x v="0"/>
    <x v="0"/>
    <x v="46"/>
    <x v="2"/>
    <x v="1"/>
    <x v="2"/>
    <x v="0"/>
    <x v="1"/>
    <x v="71"/>
    <x v="74"/>
    <x v="9"/>
    <s v="Y"/>
    <s v="No"/>
    <x v="3"/>
    <x v="0"/>
    <n v="2"/>
    <x v="0"/>
    <n v="0"/>
    <x v="7"/>
    <n v="3"/>
    <x v="1"/>
    <x v="6"/>
    <x v="2"/>
    <x v="0"/>
    <x v="2"/>
  </r>
  <r>
    <x v="12"/>
    <x v="1"/>
    <s v="Travel_Rarely"/>
    <n v="746"/>
    <x v="1"/>
    <n v="8"/>
    <n v="4"/>
    <s v="Life Sciences"/>
    <n v="1"/>
    <n v="98"/>
    <x v="1"/>
    <x v="0"/>
    <x v="1"/>
    <x v="0"/>
    <x v="0"/>
    <x v="3"/>
    <x v="0"/>
    <x v="0"/>
    <x v="72"/>
    <x v="75"/>
    <x v="1"/>
    <s v="Y"/>
    <s v="No"/>
    <x v="1"/>
    <x v="1"/>
    <n v="4"/>
    <x v="0"/>
    <n v="0"/>
    <x v="27"/>
    <n v="2"/>
    <x v="1"/>
    <x v="19"/>
    <x v="1"/>
    <x v="1"/>
    <x v="5"/>
  </r>
  <r>
    <x v="10"/>
    <x v="1"/>
    <s v="Travel_Rarely"/>
    <n v="776"/>
    <x v="0"/>
    <n v="1"/>
    <n v="4"/>
    <s v="Marketing"/>
    <n v="1"/>
    <n v="100"/>
    <x v="1"/>
    <x v="1"/>
    <x v="47"/>
    <x v="1"/>
    <x v="0"/>
    <x v="0"/>
    <x v="3"/>
    <x v="0"/>
    <x v="73"/>
    <x v="76"/>
    <x v="4"/>
    <s v="Y"/>
    <s v="No"/>
    <x v="9"/>
    <x v="0"/>
    <n v="2"/>
    <x v="0"/>
    <n v="0"/>
    <x v="28"/>
    <n v="2"/>
    <x v="1"/>
    <x v="15"/>
    <x v="9"/>
    <x v="3"/>
    <x v="5"/>
  </r>
  <r>
    <x v="28"/>
    <x v="1"/>
    <s v="Travel_Rarely"/>
    <n v="193"/>
    <x v="1"/>
    <n v="6"/>
    <n v="4"/>
    <s v="Other"/>
    <n v="1"/>
    <n v="101"/>
    <x v="2"/>
    <x v="1"/>
    <x v="48"/>
    <x v="0"/>
    <x v="2"/>
    <x v="7"/>
    <x v="3"/>
    <x v="1"/>
    <x v="74"/>
    <x v="77"/>
    <x v="5"/>
    <s v="Y"/>
    <s v="Yes"/>
    <x v="9"/>
    <x v="0"/>
    <n v="2"/>
    <x v="0"/>
    <n v="0"/>
    <x v="6"/>
    <n v="3"/>
    <x v="3"/>
    <x v="2"/>
    <x v="2"/>
    <x v="0"/>
    <x v="2"/>
  </r>
  <r>
    <x v="2"/>
    <x v="1"/>
    <s v="Travel_Rarely"/>
    <n v="397"/>
    <x v="1"/>
    <n v="7"/>
    <n v="4"/>
    <s v="Medical"/>
    <n v="1"/>
    <n v="102"/>
    <x v="3"/>
    <x v="1"/>
    <x v="37"/>
    <x v="0"/>
    <x v="2"/>
    <x v="7"/>
    <x v="2"/>
    <x v="0"/>
    <x v="75"/>
    <x v="78"/>
    <x v="5"/>
    <s v="Y"/>
    <s v="No"/>
    <x v="4"/>
    <x v="0"/>
    <n v="1"/>
    <x v="0"/>
    <n v="0"/>
    <x v="28"/>
    <n v="3"/>
    <x v="3"/>
    <x v="8"/>
    <x v="3"/>
    <x v="0"/>
    <x v="3"/>
  </r>
  <r>
    <x v="21"/>
    <x v="1"/>
    <s v="Travel_Rarely"/>
    <n v="945"/>
    <x v="2"/>
    <n v="5"/>
    <n v="2"/>
    <s v="Medical"/>
    <n v="1"/>
    <n v="103"/>
    <x v="0"/>
    <x v="1"/>
    <x v="15"/>
    <x v="0"/>
    <x v="0"/>
    <x v="8"/>
    <x v="1"/>
    <x v="2"/>
    <x v="76"/>
    <x v="79"/>
    <x v="0"/>
    <s v="Y"/>
    <s v="Yes"/>
    <x v="6"/>
    <x v="1"/>
    <n v="4"/>
    <x v="0"/>
    <n v="1"/>
    <x v="28"/>
    <n v="2"/>
    <x v="1"/>
    <x v="9"/>
    <x v="3"/>
    <x v="0"/>
    <x v="3"/>
  </r>
  <r>
    <x v="7"/>
    <x v="1"/>
    <s v="Travel_Rarely"/>
    <n v="852"/>
    <x v="1"/>
    <n v="1"/>
    <n v="1"/>
    <s v="Life Sciences"/>
    <n v="1"/>
    <n v="104"/>
    <x v="2"/>
    <x v="1"/>
    <x v="46"/>
    <x v="1"/>
    <x v="0"/>
    <x v="2"/>
    <x v="0"/>
    <x v="1"/>
    <x v="77"/>
    <x v="80"/>
    <x v="1"/>
    <s v="Y"/>
    <s v="Yes"/>
    <x v="3"/>
    <x v="0"/>
    <n v="3"/>
    <x v="0"/>
    <n v="2"/>
    <x v="1"/>
    <n v="1"/>
    <x v="2"/>
    <x v="1"/>
    <x v="6"/>
    <x v="2"/>
    <x v="2"/>
  </r>
  <r>
    <x v="10"/>
    <x v="1"/>
    <s v="Travel_Rarely"/>
    <n v="1214"/>
    <x v="1"/>
    <n v="1"/>
    <n v="3"/>
    <s v="Medical"/>
    <n v="1"/>
    <n v="105"/>
    <x v="0"/>
    <x v="1"/>
    <x v="37"/>
    <x v="1"/>
    <x v="1"/>
    <x v="1"/>
    <x v="2"/>
    <x v="0"/>
    <x v="78"/>
    <x v="81"/>
    <x v="1"/>
    <s v="Y"/>
    <s v="No"/>
    <x v="11"/>
    <x v="0"/>
    <n v="1"/>
    <x v="0"/>
    <n v="0"/>
    <x v="3"/>
    <n v="3"/>
    <x v="1"/>
    <x v="0"/>
    <x v="0"/>
    <x v="0"/>
    <x v="10"/>
  </r>
  <r>
    <x v="27"/>
    <x v="1"/>
    <s v="Travel_Rarely"/>
    <n v="111"/>
    <x v="0"/>
    <n v="1"/>
    <n v="2"/>
    <s v="Life Sciences"/>
    <n v="1"/>
    <n v="106"/>
    <x v="3"/>
    <x v="1"/>
    <x v="49"/>
    <x v="0"/>
    <x v="2"/>
    <x v="0"/>
    <x v="0"/>
    <x v="1"/>
    <x v="79"/>
    <x v="82"/>
    <x v="9"/>
    <s v="Y"/>
    <s v="No"/>
    <x v="9"/>
    <x v="0"/>
    <n v="4"/>
    <x v="0"/>
    <n v="1"/>
    <x v="13"/>
    <n v="4"/>
    <x v="1"/>
    <x v="6"/>
    <x v="2"/>
    <x v="1"/>
    <x v="2"/>
  </r>
  <r>
    <x v="8"/>
    <x v="1"/>
    <s v="Non-Travel"/>
    <n v="573"/>
    <x v="1"/>
    <n v="6"/>
    <n v="3"/>
    <s v="Medical"/>
    <n v="1"/>
    <n v="107"/>
    <x v="0"/>
    <x v="0"/>
    <x v="5"/>
    <x v="3"/>
    <x v="0"/>
    <x v="1"/>
    <x v="0"/>
    <x v="2"/>
    <x v="80"/>
    <x v="83"/>
    <x v="8"/>
    <s v="Y"/>
    <s v="Yes"/>
    <x v="3"/>
    <x v="0"/>
    <n v="4"/>
    <x v="0"/>
    <n v="3"/>
    <x v="6"/>
    <n v="3"/>
    <x v="1"/>
    <x v="20"/>
    <x v="14"/>
    <x v="1"/>
    <x v="12"/>
  </r>
  <r>
    <x v="13"/>
    <x v="1"/>
    <s v="Travel_Rarely"/>
    <n v="1153"/>
    <x v="1"/>
    <n v="1"/>
    <n v="2"/>
    <s v="Medical"/>
    <n v="1"/>
    <n v="110"/>
    <x v="3"/>
    <x v="1"/>
    <x v="0"/>
    <x v="0"/>
    <x v="0"/>
    <x v="3"/>
    <x v="1"/>
    <x v="1"/>
    <x v="81"/>
    <x v="84"/>
    <x v="1"/>
    <s v="Y"/>
    <s v="No"/>
    <x v="2"/>
    <x v="0"/>
    <n v="3"/>
    <x v="0"/>
    <n v="0"/>
    <x v="7"/>
    <n v="2"/>
    <x v="1"/>
    <x v="8"/>
    <x v="3"/>
    <x v="1"/>
    <x v="6"/>
  </r>
  <r>
    <x v="29"/>
    <x v="1"/>
    <s v="Travel_Rarely"/>
    <n v="1400"/>
    <x v="1"/>
    <n v="7"/>
    <n v="3"/>
    <s v="Life Sciences"/>
    <n v="1"/>
    <n v="112"/>
    <x v="2"/>
    <x v="1"/>
    <x v="10"/>
    <x v="3"/>
    <x v="2"/>
    <x v="3"/>
    <x v="0"/>
    <x v="0"/>
    <x v="82"/>
    <x v="85"/>
    <x v="5"/>
    <s v="Y"/>
    <s v="No"/>
    <x v="0"/>
    <x v="0"/>
    <n v="1"/>
    <x v="0"/>
    <n v="0"/>
    <x v="29"/>
    <n v="3"/>
    <x v="2"/>
    <x v="0"/>
    <x v="0"/>
    <x v="0"/>
    <x v="3"/>
  </r>
  <r>
    <x v="30"/>
    <x v="1"/>
    <s v="Travel_Rarely"/>
    <n v="541"/>
    <x v="0"/>
    <n v="2"/>
    <n v="1"/>
    <s v="Technical Degree"/>
    <n v="1"/>
    <n v="113"/>
    <x v="1"/>
    <x v="1"/>
    <x v="50"/>
    <x v="0"/>
    <x v="1"/>
    <x v="6"/>
    <x v="3"/>
    <x v="2"/>
    <x v="83"/>
    <x v="86"/>
    <x v="9"/>
    <s v="Y"/>
    <s v="No"/>
    <x v="4"/>
    <x v="0"/>
    <n v="3"/>
    <x v="0"/>
    <n v="1"/>
    <x v="8"/>
    <n v="3"/>
    <x v="1"/>
    <x v="2"/>
    <x v="2"/>
    <x v="0"/>
    <x v="2"/>
  </r>
  <r>
    <x v="31"/>
    <x v="1"/>
    <s v="Travel_Rarely"/>
    <n v="432"/>
    <x v="1"/>
    <n v="9"/>
    <n v="4"/>
    <s v="Life Sciences"/>
    <n v="1"/>
    <n v="116"/>
    <x v="2"/>
    <x v="1"/>
    <x v="16"/>
    <x v="0"/>
    <x v="1"/>
    <x v="2"/>
    <x v="0"/>
    <x v="1"/>
    <x v="84"/>
    <x v="87"/>
    <x v="9"/>
    <s v="Y"/>
    <s v="No"/>
    <x v="1"/>
    <x v="1"/>
    <n v="2"/>
    <x v="0"/>
    <n v="2"/>
    <x v="1"/>
    <n v="4"/>
    <x v="1"/>
    <x v="9"/>
    <x v="3"/>
    <x v="0"/>
    <x v="6"/>
  </r>
  <r>
    <x v="7"/>
    <x v="1"/>
    <s v="Travel_Rarely"/>
    <n v="288"/>
    <x v="1"/>
    <n v="2"/>
    <n v="3"/>
    <s v="Life Sciences"/>
    <n v="1"/>
    <n v="117"/>
    <x v="1"/>
    <x v="1"/>
    <x v="39"/>
    <x v="1"/>
    <x v="0"/>
    <x v="4"/>
    <x v="0"/>
    <x v="1"/>
    <x v="85"/>
    <x v="88"/>
    <x v="1"/>
    <s v="Y"/>
    <s v="No"/>
    <x v="12"/>
    <x v="0"/>
    <n v="1"/>
    <x v="0"/>
    <n v="3"/>
    <x v="27"/>
    <n v="3"/>
    <x v="1"/>
    <x v="19"/>
    <x v="15"/>
    <x v="13"/>
    <x v="5"/>
  </r>
  <r>
    <x v="21"/>
    <x v="0"/>
    <s v="Travel_Rarely"/>
    <n v="669"/>
    <x v="0"/>
    <n v="9"/>
    <n v="2"/>
    <s v="Medical"/>
    <n v="1"/>
    <n v="118"/>
    <x v="1"/>
    <x v="1"/>
    <x v="51"/>
    <x v="1"/>
    <x v="2"/>
    <x v="0"/>
    <x v="0"/>
    <x v="0"/>
    <x v="86"/>
    <x v="89"/>
    <x v="1"/>
    <s v="Y"/>
    <s v="No"/>
    <x v="10"/>
    <x v="0"/>
    <n v="4"/>
    <x v="0"/>
    <n v="0"/>
    <x v="15"/>
    <n v="3"/>
    <x v="1"/>
    <x v="7"/>
    <x v="6"/>
    <x v="5"/>
    <x v="1"/>
  </r>
  <r>
    <x v="32"/>
    <x v="1"/>
    <s v="Travel_Frequently"/>
    <n v="530"/>
    <x v="1"/>
    <n v="1"/>
    <n v="4"/>
    <s v="Life Sciences"/>
    <n v="1"/>
    <n v="119"/>
    <x v="1"/>
    <x v="1"/>
    <x v="17"/>
    <x v="1"/>
    <x v="3"/>
    <x v="4"/>
    <x v="1"/>
    <x v="1"/>
    <x v="87"/>
    <x v="90"/>
    <x v="1"/>
    <s v="Y"/>
    <s v="No"/>
    <x v="6"/>
    <x v="1"/>
    <n v="4"/>
    <x v="0"/>
    <n v="1"/>
    <x v="14"/>
    <n v="3"/>
    <x v="2"/>
    <x v="14"/>
    <x v="7"/>
    <x v="14"/>
    <x v="7"/>
  </r>
  <r>
    <x v="31"/>
    <x v="1"/>
    <s v="Travel_Rarely"/>
    <n v="632"/>
    <x v="0"/>
    <n v="21"/>
    <n v="4"/>
    <s v="Marketing"/>
    <n v="1"/>
    <n v="120"/>
    <x v="1"/>
    <x v="1"/>
    <x v="36"/>
    <x v="0"/>
    <x v="0"/>
    <x v="0"/>
    <x v="0"/>
    <x v="0"/>
    <x v="88"/>
    <x v="91"/>
    <x v="4"/>
    <s v="Y"/>
    <s v="Yes"/>
    <x v="6"/>
    <x v="1"/>
    <n v="4"/>
    <x v="0"/>
    <n v="0"/>
    <x v="27"/>
    <n v="2"/>
    <x v="0"/>
    <x v="1"/>
    <x v="1"/>
    <x v="1"/>
    <x v="2"/>
  </r>
  <r>
    <x v="7"/>
    <x v="1"/>
    <s v="Travel_Rarely"/>
    <n v="1334"/>
    <x v="0"/>
    <n v="4"/>
    <n v="2"/>
    <s v="Medical"/>
    <n v="1"/>
    <n v="121"/>
    <x v="1"/>
    <x v="0"/>
    <x v="52"/>
    <x v="1"/>
    <x v="0"/>
    <x v="0"/>
    <x v="1"/>
    <x v="2"/>
    <x v="89"/>
    <x v="92"/>
    <x v="1"/>
    <s v="Y"/>
    <s v="Yes"/>
    <x v="3"/>
    <x v="0"/>
    <n v="2"/>
    <x v="0"/>
    <n v="3"/>
    <x v="27"/>
    <n v="4"/>
    <x v="2"/>
    <x v="19"/>
    <x v="6"/>
    <x v="3"/>
    <x v="1"/>
  </r>
  <r>
    <x v="21"/>
    <x v="1"/>
    <s v="Travel_Frequently"/>
    <n v="638"/>
    <x v="1"/>
    <n v="1"/>
    <n v="3"/>
    <s v="Medical"/>
    <n v="1"/>
    <n v="124"/>
    <x v="1"/>
    <x v="1"/>
    <x v="4"/>
    <x v="1"/>
    <x v="2"/>
    <x v="4"/>
    <x v="3"/>
    <x v="1"/>
    <x v="90"/>
    <x v="93"/>
    <x v="7"/>
    <s v="Y"/>
    <s v="Yes"/>
    <x v="4"/>
    <x v="0"/>
    <n v="3"/>
    <x v="0"/>
    <n v="1"/>
    <x v="24"/>
    <n v="5"/>
    <x v="2"/>
    <x v="1"/>
    <x v="5"/>
    <x v="10"/>
    <x v="0"/>
  </r>
  <r>
    <x v="5"/>
    <x v="1"/>
    <s v="Travel_Rarely"/>
    <n v="1093"/>
    <x v="0"/>
    <n v="6"/>
    <n v="4"/>
    <s v="Medical"/>
    <n v="1"/>
    <n v="125"/>
    <x v="0"/>
    <x v="1"/>
    <x v="44"/>
    <x v="0"/>
    <x v="0"/>
    <x v="0"/>
    <x v="2"/>
    <x v="0"/>
    <x v="91"/>
    <x v="94"/>
    <x v="1"/>
    <s v="Y"/>
    <s v="No"/>
    <x v="10"/>
    <x v="0"/>
    <n v="1"/>
    <x v="0"/>
    <n v="0"/>
    <x v="4"/>
    <n v="0"/>
    <x v="1"/>
    <x v="19"/>
    <x v="6"/>
    <x v="8"/>
    <x v="1"/>
  </r>
  <r>
    <x v="33"/>
    <x v="1"/>
    <s v="Travel_Rarely"/>
    <n v="1217"/>
    <x v="1"/>
    <n v="2"/>
    <n v="4"/>
    <s v="Technical Degree"/>
    <n v="1"/>
    <n v="126"/>
    <x v="3"/>
    <x v="0"/>
    <x v="53"/>
    <x v="0"/>
    <x v="2"/>
    <x v="7"/>
    <x v="2"/>
    <x v="1"/>
    <x v="92"/>
    <x v="95"/>
    <x v="3"/>
    <s v="Y"/>
    <s v="No"/>
    <x v="3"/>
    <x v="0"/>
    <n v="1"/>
    <x v="0"/>
    <n v="1"/>
    <x v="28"/>
    <n v="5"/>
    <x v="0"/>
    <x v="9"/>
    <x v="7"/>
    <x v="0"/>
    <x v="6"/>
  </r>
  <r>
    <x v="17"/>
    <x v="1"/>
    <s v="Travel_Rarely"/>
    <n v="1353"/>
    <x v="0"/>
    <n v="3"/>
    <n v="2"/>
    <s v="Other"/>
    <n v="1"/>
    <n v="128"/>
    <x v="3"/>
    <x v="0"/>
    <x v="30"/>
    <x v="0"/>
    <x v="0"/>
    <x v="0"/>
    <x v="2"/>
    <x v="1"/>
    <x v="93"/>
    <x v="96"/>
    <x v="4"/>
    <s v="Y"/>
    <s v="No"/>
    <x v="7"/>
    <x v="1"/>
    <n v="1"/>
    <x v="0"/>
    <n v="1"/>
    <x v="21"/>
    <n v="2"/>
    <x v="2"/>
    <x v="11"/>
    <x v="3"/>
    <x v="0"/>
    <x v="3"/>
  </r>
  <r>
    <x v="14"/>
    <x v="1"/>
    <s v="Non-Travel"/>
    <n v="120"/>
    <x v="0"/>
    <n v="4"/>
    <n v="3"/>
    <s v="Medical"/>
    <n v="1"/>
    <n v="129"/>
    <x v="0"/>
    <x v="1"/>
    <x v="38"/>
    <x v="0"/>
    <x v="0"/>
    <x v="0"/>
    <x v="2"/>
    <x v="1"/>
    <x v="94"/>
    <x v="97"/>
    <x v="1"/>
    <s v="Y"/>
    <s v="No"/>
    <x v="2"/>
    <x v="0"/>
    <n v="2"/>
    <x v="0"/>
    <n v="0"/>
    <x v="7"/>
    <n v="3"/>
    <x v="3"/>
    <x v="8"/>
    <x v="0"/>
    <x v="0"/>
    <x v="10"/>
  </r>
  <r>
    <x v="34"/>
    <x v="1"/>
    <s v="Travel_Rarely"/>
    <n v="682"/>
    <x v="0"/>
    <n v="10"/>
    <n v="4"/>
    <s v="Medical"/>
    <n v="1"/>
    <n v="131"/>
    <x v="2"/>
    <x v="1"/>
    <x v="31"/>
    <x v="0"/>
    <x v="3"/>
    <x v="0"/>
    <x v="2"/>
    <x v="0"/>
    <x v="95"/>
    <x v="98"/>
    <x v="4"/>
    <s v="Y"/>
    <s v="No"/>
    <x v="4"/>
    <x v="0"/>
    <n v="3"/>
    <x v="0"/>
    <n v="0"/>
    <x v="30"/>
    <n v="1"/>
    <x v="2"/>
    <x v="21"/>
    <x v="15"/>
    <x v="1"/>
    <x v="5"/>
  </r>
  <r>
    <x v="20"/>
    <x v="1"/>
    <s v="Non-Travel"/>
    <n v="489"/>
    <x v="1"/>
    <n v="23"/>
    <n v="3"/>
    <s v="Medical"/>
    <n v="1"/>
    <n v="132"/>
    <x v="0"/>
    <x v="1"/>
    <x v="7"/>
    <x v="0"/>
    <x v="0"/>
    <x v="2"/>
    <x v="1"/>
    <x v="1"/>
    <x v="96"/>
    <x v="99"/>
    <x v="5"/>
    <s v="Y"/>
    <s v="No"/>
    <x v="3"/>
    <x v="0"/>
    <n v="3"/>
    <x v="0"/>
    <n v="1"/>
    <x v="6"/>
    <n v="3"/>
    <x v="3"/>
    <x v="11"/>
    <x v="3"/>
    <x v="1"/>
    <x v="3"/>
  </r>
  <r>
    <x v="2"/>
    <x v="0"/>
    <s v="Travel_Rarely"/>
    <n v="807"/>
    <x v="2"/>
    <n v="6"/>
    <n v="4"/>
    <s v="Human Resources"/>
    <n v="1"/>
    <n v="133"/>
    <x v="1"/>
    <x v="1"/>
    <x v="52"/>
    <x v="0"/>
    <x v="1"/>
    <x v="8"/>
    <x v="3"/>
    <x v="2"/>
    <x v="97"/>
    <x v="100"/>
    <x v="5"/>
    <s v="Y"/>
    <s v="Yes"/>
    <x v="6"/>
    <x v="1"/>
    <n v="4"/>
    <x v="0"/>
    <n v="0"/>
    <x v="2"/>
    <n v="3"/>
    <x v="1"/>
    <x v="11"/>
    <x v="3"/>
    <x v="0"/>
    <x v="3"/>
  </r>
  <r>
    <x v="5"/>
    <x v="1"/>
    <s v="Travel_Rarely"/>
    <n v="827"/>
    <x v="1"/>
    <n v="1"/>
    <n v="1"/>
    <s v="Life Sciences"/>
    <n v="1"/>
    <n v="134"/>
    <x v="2"/>
    <x v="1"/>
    <x v="36"/>
    <x v="0"/>
    <x v="1"/>
    <x v="1"/>
    <x v="3"/>
    <x v="0"/>
    <x v="98"/>
    <x v="101"/>
    <x v="1"/>
    <s v="Y"/>
    <s v="No"/>
    <x v="4"/>
    <x v="0"/>
    <n v="4"/>
    <x v="0"/>
    <n v="0"/>
    <x v="5"/>
    <n v="2"/>
    <x v="1"/>
    <x v="6"/>
    <x v="2"/>
    <x v="0"/>
    <x v="2"/>
  </r>
  <r>
    <x v="35"/>
    <x v="0"/>
    <s v="Travel_Frequently"/>
    <n v="871"/>
    <x v="1"/>
    <n v="6"/>
    <n v="3"/>
    <s v="Life Sciences"/>
    <n v="1"/>
    <n v="137"/>
    <x v="2"/>
    <x v="0"/>
    <x v="45"/>
    <x v="1"/>
    <x v="1"/>
    <x v="2"/>
    <x v="0"/>
    <x v="0"/>
    <x v="99"/>
    <x v="102"/>
    <x v="1"/>
    <s v="Y"/>
    <s v="Yes"/>
    <x v="11"/>
    <x v="0"/>
    <n v="2"/>
    <x v="0"/>
    <n v="0"/>
    <x v="5"/>
    <n v="5"/>
    <x v="1"/>
    <x v="6"/>
    <x v="2"/>
    <x v="1"/>
    <x v="2"/>
  </r>
  <r>
    <x v="13"/>
    <x v="1"/>
    <s v="Travel_Rarely"/>
    <n v="665"/>
    <x v="1"/>
    <n v="6"/>
    <n v="4"/>
    <s v="Other"/>
    <n v="1"/>
    <n v="138"/>
    <x v="3"/>
    <x v="0"/>
    <x v="26"/>
    <x v="0"/>
    <x v="0"/>
    <x v="1"/>
    <x v="2"/>
    <x v="0"/>
    <x v="100"/>
    <x v="103"/>
    <x v="1"/>
    <s v="Y"/>
    <s v="No"/>
    <x v="9"/>
    <x v="0"/>
    <n v="3"/>
    <x v="0"/>
    <n v="0"/>
    <x v="28"/>
    <n v="3"/>
    <x v="1"/>
    <x v="22"/>
    <x v="9"/>
    <x v="3"/>
    <x v="13"/>
  </r>
  <r>
    <x v="2"/>
    <x v="1"/>
    <s v="Non-Travel"/>
    <n v="1040"/>
    <x v="1"/>
    <n v="2"/>
    <n v="2"/>
    <s v="Life Sciences"/>
    <n v="1"/>
    <n v="139"/>
    <x v="1"/>
    <x v="1"/>
    <x v="54"/>
    <x v="1"/>
    <x v="0"/>
    <x v="4"/>
    <x v="0"/>
    <x v="2"/>
    <x v="101"/>
    <x v="104"/>
    <x v="6"/>
    <s v="Y"/>
    <s v="No"/>
    <x v="9"/>
    <x v="0"/>
    <n v="4"/>
    <x v="0"/>
    <n v="1"/>
    <x v="6"/>
    <n v="2"/>
    <x v="3"/>
    <x v="6"/>
    <x v="2"/>
    <x v="0"/>
    <x v="2"/>
  </r>
  <r>
    <x v="6"/>
    <x v="1"/>
    <s v="Non-Travel"/>
    <n v="1420"/>
    <x v="2"/>
    <n v="2"/>
    <n v="4"/>
    <s v="Human Resources"/>
    <n v="1"/>
    <n v="140"/>
    <x v="1"/>
    <x v="0"/>
    <x v="47"/>
    <x v="1"/>
    <x v="4"/>
    <x v="5"/>
    <x v="0"/>
    <x v="1"/>
    <x v="102"/>
    <x v="105"/>
    <x v="3"/>
    <s v="Y"/>
    <s v="No"/>
    <x v="7"/>
    <x v="1"/>
    <n v="4"/>
    <x v="0"/>
    <n v="1"/>
    <x v="31"/>
    <n v="3"/>
    <x v="1"/>
    <x v="11"/>
    <x v="3"/>
    <x v="3"/>
    <x v="3"/>
  </r>
  <r>
    <x v="24"/>
    <x v="1"/>
    <s v="Travel_Frequently"/>
    <n v="1115"/>
    <x v="1"/>
    <n v="1"/>
    <n v="3"/>
    <s v="Life Sciences"/>
    <n v="1"/>
    <n v="141"/>
    <x v="3"/>
    <x v="0"/>
    <x v="32"/>
    <x v="0"/>
    <x v="4"/>
    <x v="7"/>
    <x v="1"/>
    <x v="1"/>
    <x v="103"/>
    <x v="106"/>
    <x v="9"/>
    <s v="Y"/>
    <s v="Yes"/>
    <x v="12"/>
    <x v="0"/>
    <n v="1"/>
    <x v="0"/>
    <n v="0"/>
    <x v="23"/>
    <n v="1"/>
    <x v="2"/>
    <x v="3"/>
    <x v="7"/>
    <x v="0"/>
    <x v="1"/>
  </r>
  <r>
    <x v="36"/>
    <x v="0"/>
    <s v="Travel_Rarely"/>
    <n v="240"/>
    <x v="0"/>
    <n v="5"/>
    <n v="3"/>
    <s v="Marketing"/>
    <n v="1"/>
    <n v="142"/>
    <x v="1"/>
    <x v="1"/>
    <x v="55"/>
    <x v="1"/>
    <x v="0"/>
    <x v="0"/>
    <x v="2"/>
    <x v="0"/>
    <x v="104"/>
    <x v="107"/>
    <x v="1"/>
    <s v="Y"/>
    <s v="Yes"/>
    <x v="0"/>
    <x v="0"/>
    <n v="4"/>
    <x v="0"/>
    <n v="0"/>
    <x v="3"/>
    <n v="1"/>
    <x v="1"/>
    <x v="0"/>
    <x v="0"/>
    <x v="0"/>
    <x v="6"/>
  </r>
  <r>
    <x v="36"/>
    <x v="1"/>
    <s v="Travel_Rarely"/>
    <n v="1280"/>
    <x v="1"/>
    <n v="7"/>
    <n v="1"/>
    <s v="Medical"/>
    <n v="1"/>
    <n v="143"/>
    <x v="2"/>
    <x v="1"/>
    <x v="51"/>
    <x v="1"/>
    <x v="1"/>
    <x v="1"/>
    <x v="0"/>
    <x v="1"/>
    <x v="105"/>
    <x v="108"/>
    <x v="1"/>
    <s v="Y"/>
    <s v="No"/>
    <x v="0"/>
    <x v="0"/>
    <n v="3"/>
    <x v="0"/>
    <n v="2"/>
    <x v="17"/>
    <n v="2"/>
    <x v="1"/>
    <x v="4"/>
    <x v="3"/>
    <x v="3"/>
    <x v="9"/>
  </r>
  <r>
    <x v="15"/>
    <x v="1"/>
    <s v="Travel_Rarely"/>
    <n v="534"/>
    <x v="1"/>
    <n v="15"/>
    <n v="3"/>
    <s v="Medical"/>
    <n v="1"/>
    <n v="144"/>
    <x v="0"/>
    <x v="0"/>
    <x v="40"/>
    <x v="0"/>
    <x v="1"/>
    <x v="2"/>
    <x v="0"/>
    <x v="0"/>
    <x v="106"/>
    <x v="109"/>
    <x v="1"/>
    <s v="Y"/>
    <s v="No"/>
    <x v="2"/>
    <x v="0"/>
    <n v="3"/>
    <x v="0"/>
    <n v="0"/>
    <x v="5"/>
    <n v="5"/>
    <x v="1"/>
    <x v="2"/>
    <x v="2"/>
    <x v="0"/>
    <x v="2"/>
  </r>
  <r>
    <x v="31"/>
    <x v="1"/>
    <s v="Travel_Frequently"/>
    <n v="1456"/>
    <x v="1"/>
    <n v="1"/>
    <n v="4"/>
    <s v="Medical"/>
    <n v="1"/>
    <n v="145"/>
    <x v="3"/>
    <x v="0"/>
    <x v="37"/>
    <x v="1"/>
    <x v="2"/>
    <x v="4"/>
    <x v="3"/>
    <x v="0"/>
    <x v="107"/>
    <x v="110"/>
    <x v="9"/>
    <s v="Y"/>
    <s v="No"/>
    <x v="5"/>
    <x v="1"/>
    <n v="3"/>
    <x v="0"/>
    <n v="0"/>
    <x v="18"/>
    <n v="1"/>
    <x v="2"/>
    <x v="20"/>
    <x v="16"/>
    <x v="12"/>
    <x v="5"/>
  </r>
  <r>
    <x v="13"/>
    <x v="0"/>
    <s v="Travel_Frequently"/>
    <n v="658"/>
    <x v="1"/>
    <n v="7"/>
    <n v="3"/>
    <s v="Life Sciences"/>
    <n v="1"/>
    <n v="147"/>
    <x v="3"/>
    <x v="1"/>
    <x v="45"/>
    <x v="3"/>
    <x v="0"/>
    <x v="2"/>
    <x v="2"/>
    <x v="0"/>
    <x v="108"/>
    <x v="111"/>
    <x v="1"/>
    <s v="Y"/>
    <s v="Yes"/>
    <x v="13"/>
    <x v="1"/>
    <n v="4"/>
    <x v="0"/>
    <n v="0"/>
    <x v="15"/>
    <n v="3"/>
    <x v="1"/>
    <x v="7"/>
    <x v="1"/>
    <x v="0"/>
    <x v="4"/>
  </r>
  <r>
    <x v="33"/>
    <x v="1"/>
    <s v="Non-Travel"/>
    <n v="142"/>
    <x v="2"/>
    <n v="26"/>
    <n v="3"/>
    <s v="Human Resources"/>
    <n v="1"/>
    <n v="148"/>
    <x v="2"/>
    <x v="0"/>
    <x v="37"/>
    <x v="2"/>
    <x v="3"/>
    <x v="5"/>
    <x v="0"/>
    <x v="0"/>
    <x v="109"/>
    <x v="112"/>
    <x v="7"/>
    <s v="Y"/>
    <s v="Yes"/>
    <x v="3"/>
    <x v="0"/>
    <n v="3"/>
    <x v="0"/>
    <n v="0"/>
    <x v="18"/>
    <n v="3"/>
    <x v="1"/>
    <x v="8"/>
    <x v="7"/>
    <x v="5"/>
    <x v="10"/>
  </r>
  <r>
    <x v="17"/>
    <x v="1"/>
    <s v="Travel_Rarely"/>
    <n v="1127"/>
    <x v="1"/>
    <n v="18"/>
    <n v="1"/>
    <s v="Life Sciences"/>
    <n v="1"/>
    <n v="150"/>
    <x v="0"/>
    <x v="1"/>
    <x v="48"/>
    <x v="0"/>
    <x v="1"/>
    <x v="2"/>
    <x v="2"/>
    <x v="1"/>
    <x v="110"/>
    <x v="113"/>
    <x v="4"/>
    <s v="Y"/>
    <s v="No"/>
    <x v="3"/>
    <x v="0"/>
    <n v="3"/>
    <x v="0"/>
    <n v="1"/>
    <x v="3"/>
    <n v="2"/>
    <x v="1"/>
    <x v="8"/>
    <x v="7"/>
    <x v="1"/>
    <x v="3"/>
  </r>
  <r>
    <x v="13"/>
    <x v="1"/>
    <s v="Travel_Rarely"/>
    <n v="1031"/>
    <x v="1"/>
    <n v="6"/>
    <n v="4"/>
    <s v="Life Sciences"/>
    <n v="1"/>
    <n v="151"/>
    <x v="1"/>
    <x v="0"/>
    <x v="18"/>
    <x v="1"/>
    <x v="0"/>
    <x v="1"/>
    <x v="1"/>
    <x v="2"/>
    <x v="111"/>
    <x v="114"/>
    <x v="2"/>
    <s v="Y"/>
    <s v="No"/>
    <x v="2"/>
    <x v="0"/>
    <n v="3"/>
    <x v="0"/>
    <n v="1"/>
    <x v="4"/>
    <n v="3"/>
    <x v="1"/>
    <x v="6"/>
    <x v="2"/>
    <x v="0"/>
    <x v="2"/>
  </r>
  <r>
    <x v="2"/>
    <x v="1"/>
    <s v="Travel_Rarely"/>
    <n v="1189"/>
    <x v="0"/>
    <n v="3"/>
    <n v="3"/>
    <s v="Life Sciences"/>
    <n v="1"/>
    <n v="152"/>
    <x v="1"/>
    <x v="1"/>
    <x v="44"/>
    <x v="0"/>
    <x v="2"/>
    <x v="0"/>
    <x v="0"/>
    <x v="0"/>
    <x v="112"/>
    <x v="115"/>
    <x v="7"/>
    <s v="Y"/>
    <s v="No"/>
    <x v="3"/>
    <x v="0"/>
    <n v="1"/>
    <x v="0"/>
    <n v="0"/>
    <x v="4"/>
    <n v="3"/>
    <x v="1"/>
    <x v="8"/>
    <x v="7"/>
    <x v="1"/>
    <x v="6"/>
  </r>
  <r>
    <x v="13"/>
    <x v="1"/>
    <s v="Travel_Rarely"/>
    <n v="1354"/>
    <x v="1"/>
    <n v="5"/>
    <n v="3"/>
    <s v="Medical"/>
    <n v="1"/>
    <n v="153"/>
    <x v="1"/>
    <x v="0"/>
    <x v="18"/>
    <x v="1"/>
    <x v="2"/>
    <x v="5"/>
    <x v="3"/>
    <x v="0"/>
    <x v="113"/>
    <x v="116"/>
    <x v="7"/>
    <s v="Y"/>
    <s v="No"/>
    <x v="3"/>
    <x v="0"/>
    <n v="4"/>
    <x v="0"/>
    <n v="0"/>
    <x v="19"/>
    <n v="6"/>
    <x v="1"/>
    <x v="19"/>
    <x v="15"/>
    <x v="8"/>
    <x v="5"/>
  </r>
  <r>
    <x v="9"/>
    <x v="1"/>
    <s v="Travel_Frequently"/>
    <n v="1467"/>
    <x v="0"/>
    <n v="11"/>
    <n v="2"/>
    <s v="Technical Degree"/>
    <n v="1"/>
    <n v="154"/>
    <x v="0"/>
    <x v="0"/>
    <x v="2"/>
    <x v="0"/>
    <x v="2"/>
    <x v="0"/>
    <x v="0"/>
    <x v="1"/>
    <x v="114"/>
    <x v="117"/>
    <x v="4"/>
    <s v="Y"/>
    <s v="No"/>
    <x v="9"/>
    <x v="0"/>
    <n v="3"/>
    <x v="0"/>
    <n v="1"/>
    <x v="1"/>
    <n v="6"/>
    <x v="1"/>
    <x v="7"/>
    <x v="1"/>
    <x v="3"/>
    <x v="5"/>
  </r>
  <r>
    <x v="9"/>
    <x v="1"/>
    <s v="Travel_Rarely"/>
    <n v="922"/>
    <x v="1"/>
    <n v="3"/>
    <n v="2"/>
    <s v="Life Sciences"/>
    <n v="1"/>
    <n v="155"/>
    <x v="3"/>
    <x v="0"/>
    <x v="56"/>
    <x v="0"/>
    <x v="1"/>
    <x v="2"/>
    <x v="0"/>
    <x v="2"/>
    <x v="115"/>
    <x v="118"/>
    <x v="6"/>
    <s v="Y"/>
    <s v="No"/>
    <x v="6"/>
    <x v="1"/>
    <n v="1"/>
    <x v="0"/>
    <n v="1"/>
    <x v="2"/>
    <n v="2"/>
    <x v="1"/>
    <x v="6"/>
    <x v="2"/>
    <x v="0"/>
    <x v="2"/>
  </r>
  <r>
    <x v="23"/>
    <x v="1"/>
    <s v="Travel_Frequently"/>
    <n v="394"/>
    <x v="0"/>
    <n v="26"/>
    <n v="2"/>
    <s v="Life Sciences"/>
    <n v="1"/>
    <n v="158"/>
    <x v="1"/>
    <x v="1"/>
    <x v="2"/>
    <x v="0"/>
    <x v="3"/>
    <x v="5"/>
    <x v="0"/>
    <x v="1"/>
    <x v="116"/>
    <x v="119"/>
    <x v="1"/>
    <s v="Y"/>
    <s v="Yes"/>
    <x v="3"/>
    <x v="0"/>
    <n v="4"/>
    <x v="0"/>
    <n v="2"/>
    <x v="25"/>
    <n v="3"/>
    <x v="3"/>
    <x v="10"/>
    <x v="16"/>
    <x v="5"/>
    <x v="11"/>
  </r>
  <r>
    <x v="7"/>
    <x v="1"/>
    <s v="Travel_Frequently"/>
    <n v="1312"/>
    <x v="1"/>
    <n v="23"/>
    <n v="3"/>
    <s v="Life Sciences"/>
    <n v="1"/>
    <n v="159"/>
    <x v="3"/>
    <x v="1"/>
    <x v="16"/>
    <x v="3"/>
    <x v="1"/>
    <x v="1"/>
    <x v="2"/>
    <x v="2"/>
    <x v="117"/>
    <x v="120"/>
    <x v="1"/>
    <s v="Y"/>
    <s v="No"/>
    <x v="14"/>
    <x v="1"/>
    <n v="3"/>
    <x v="0"/>
    <n v="3"/>
    <x v="1"/>
    <n v="2"/>
    <x v="2"/>
    <x v="1"/>
    <x v="1"/>
    <x v="0"/>
    <x v="12"/>
  </r>
  <r>
    <x v="3"/>
    <x v="1"/>
    <s v="Non-Travel"/>
    <n v="750"/>
    <x v="0"/>
    <n v="22"/>
    <n v="2"/>
    <s v="Marketing"/>
    <n v="1"/>
    <n v="160"/>
    <x v="1"/>
    <x v="1"/>
    <x v="41"/>
    <x v="0"/>
    <x v="0"/>
    <x v="0"/>
    <x v="1"/>
    <x v="1"/>
    <x v="118"/>
    <x v="121"/>
    <x v="4"/>
    <s v="Y"/>
    <s v="No"/>
    <x v="4"/>
    <x v="0"/>
    <n v="1"/>
    <x v="0"/>
    <n v="1"/>
    <x v="0"/>
    <n v="2"/>
    <x v="3"/>
    <x v="5"/>
    <x v="1"/>
    <x v="0"/>
    <x v="1"/>
  </r>
  <r>
    <x v="29"/>
    <x v="0"/>
    <s v="Travel_Rarely"/>
    <n v="441"/>
    <x v="1"/>
    <n v="14"/>
    <n v="4"/>
    <s v="Life Sciences"/>
    <n v="1"/>
    <n v="161"/>
    <x v="0"/>
    <x v="0"/>
    <x v="23"/>
    <x v="0"/>
    <x v="1"/>
    <x v="1"/>
    <x v="1"/>
    <x v="1"/>
    <x v="119"/>
    <x v="122"/>
    <x v="3"/>
    <s v="Y"/>
    <s v="Yes"/>
    <x v="11"/>
    <x v="0"/>
    <n v="1"/>
    <x v="0"/>
    <n v="3"/>
    <x v="2"/>
    <n v="2"/>
    <x v="1"/>
    <x v="8"/>
    <x v="0"/>
    <x v="5"/>
    <x v="6"/>
  </r>
  <r>
    <x v="31"/>
    <x v="1"/>
    <s v="Travel_Rarely"/>
    <n v="684"/>
    <x v="1"/>
    <n v="6"/>
    <n v="3"/>
    <s v="Life Sciences"/>
    <n v="1"/>
    <n v="162"/>
    <x v="3"/>
    <x v="1"/>
    <x v="14"/>
    <x v="0"/>
    <x v="4"/>
    <x v="7"/>
    <x v="2"/>
    <x v="0"/>
    <x v="120"/>
    <x v="123"/>
    <x v="8"/>
    <s v="Y"/>
    <s v="No"/>
    <x v="4"/>
    <x v="0"/>
    <n v="3"/>
    <x v="0"/>
    <n v="0"/>
    <x v="18"/>
    <n v="5"/>
    <x v="1"/>
    <x v="23"/>
    <x v="17"/>
    <x v="9"/>
    <x v="14"/>
  </r>
  <r>
    <x v="12"/>
    <x v="0"/>
    <s v="Travel_Rarely"/>
    <n v="249"/>
    <x v="0"/>
    <n v="6"/>
    <n v="4"/>
    <s v="Life Sciences"/>
    <n v="1"/>
    <n v="163"/>
    <x v="0"/>
    <x v="1"/>
    <x v="43"/>
    <x v="3"/>
    <x v="0"/>
    <x v="0"/>
    <x v="2"/>
    <x v="1"/>
    <x v="121"/>
    <x v="124"/>
    <x v="5"/>
    <s v="Y"/>
    <s v="Yes"/>
    <x v="11"/>
    <x v="0"/>
    <n v="2"/>
    <x v="0"/>
    <n v="0"/>
    <x v="4"/>
    <n v="3"/>
    <x v="2"/>
    <x v="5"/>
    <x v="1"/>
    <x v="4"/>
    <x v="1"/>
  </r>
  <r>
    <x v="25"/>
    <x v="1"/>
    <s v="Travel_Rarely"/>
    <n v="841"/>
    <x v="1"/>
    <n v="6"/>
    <n v="3"/>
    <s v="Other"/>
    <n v="1"/>
    <n v="164"/>
    <x v="1"/>
    <x v="0"/>
    <x v="55"/>
    <x v="1"/>
    <x v="1"/>
    <x v="1"/>
    <x v="1"/>
    <x v="1"/>
    <x v="122"/>
    <x v="125"/>
    <x v="1"/>
    <s v="Y"/>
    <s v="No"/>
    <x v="12"/>
    <x v="0"/>
    <n v="3"/>
    <x v="0"/>
    <n v="0"/>
    <x v="7"/>
    <n v="3"/>
    <x v="2"/>
    <x v="8"/>
    <x v="0"/>
    <x v="5"/>
    <x v="6"/>
  </r>
  <r>
    <x v="34"/>
    <x v="0"/>
    <s v="Travel_Rarely"/>
    <n v="147"/>
    <x v="1"/>
    <n v="23"/>
    <n v="4"/>
    <s v="Medical"/>
    <n v="1"/>
    <n v="165"/>
    <x v="2"/>
    <x v="0"/>
    <x v="0"/>
    <x v="0"/>
    <x v="2"/>
    <x v="4"/>
    <x v="0"/>
    <x v="1"/>
    <x v="123"/>
    <x v="126"/>
    <x v="1"/>
    <s v="Y"/>
    <s v="No"/>
    <x v="3"/>
    <x v="0"/>
    <n v="4"/>
    <x v="0"/>
    <n v="1"/>
    <x v="32"/>
    <n v="3"/>
    <x v="2"/>
    <x v="24"/>
    <x v="15"/>
    <x v="9"/>
    <x v="4"/>
  </r>
  <r>
    <x v="37"/>
    <x v="0"/>
    <s v="Travel_Rarely"/>
    <n v="528"/>
    <x v="0"/>
    <n v="22"/>
    <n v="1"/>
    <s v="Marketing"/>
    <n v="1"/>
    <n v="167"/>
    <x v="2"/>
    <x v="1"/>
    <x v="13"/>
    <x v="0"/>
    <x v="1"/>
    <x v="6"/>
    <x v="2"/>
    <x v="0"/>
    <x v="124"/>
    <x v="127"/>
    <x v="1"/>
    <s v="Y"/>
    <s v="Yes"/>
    <x v="12"/>
    <x v="0"/>
    <n v="4"/>
    <x v="0"/>
    <n v="0"/>
    <x v="11"/>
    <n v="2"/>
    <x v="2"/>
    <x v="2"/>
    <x v="2"/>
    <x v="0"/>
    <x v="2"/>
  </r>
  <r>
    <x v="15"/>
    <x v="1"/>
    <s v="Travel_Rarely"/>
    <n v="594"/>
    <x v="1"/>
    <n v="2"/>
    <n v="1"/>
    <s v="Technical Degree"/>
    <n v="1"/>
    <n v="169"/>
    <x v="1"/>
    <x v="1"/>
    <x v="54"/>
    <x v="0"/>
    <x v="1"/>
    <x v="2"/>
    <x v="0"/>
    <x v="1"/>
    <x v="125"/>
    <x v="128"/>
    <x v="4"/>
    <s v="Y"/>
    <s v="No"/>
    <x v="9"/>
    <x v="0"/>
    <n v="3"/>
    <x v="0"/>
    <n v="1"/>
    <x v="8"/>
    <n v="2"/>
    <x v="1"/>
    <x v="4"/>
    <x v="10"/>
    <x v="3"/>
    <x v="9"/>
  </r>
  <r>
    <x v="1"/>
    <x v="1"/>
    <s v="Travel_Rarely"/>
    <n v="470"/>
    <x v="1"/>
    <n v="20"/>
    <n v="4"/>
    <s v="Medical"/>
    <n v="1"/>
    <n v="170"/>
    <x v="1"/>
    <x v="0"/>
    <x v="16"/>
    <x v="0"/>
    <x v="0"/>
    <x v="3"/>
    <x v="3"/>
    <x v="1"/>
    <x v="126"/>
    <x v="129"/>
    <x v="1"/>
    <s v="Y"/>
    <s v="No"/>
    <x v="9"/>
    <x v="0"/>
    <n v="3"/>
    <x v="0"/>
    <n v="0"/>
    <x v="28"/>
    <n v="2"/>
    <x v="2"/>
    <x v="15"/>
    <x v="14"/>
    <x v="8"/>
    <x v="7"/>
  </r>
  <r>
    <x v="23"/>
    <x v="1"/>
    <s v="Travel_Frequently"/>
    <n v="957"/>
    <x v="1"/>
    <n v="28"/>
    <n v="3"/>
    <s v="Medical"/>
    <n v="1"/>
    <n v="171"/>
    <x v="0"/>
    <x v="0"/>
    <x v="23"/>
    <x v="2"/>
    <x v="1"/>
    <x v="1"/>
    <x v="2"/>
    <x v="0"/>
    <x v="127"/>
    <x v="130"/>
    <x v="5"/>
    <s v="Y"/>
    <s v="No"/>
    <x v="3"/>
    <x v="0"/>
    <n v="4"/>
    <x v="0"/>
    <n v="0"/>
    <x v="33"/>
    <n v="2"/>
    <x v="1"/>
    <x v="11"/>
    <x v="3"/>
    <x v="1"/>
    <x v="3"/>
  </r>
  <r>
    <x v="24"/>
    <x v="1"/>
    <s v="Travel_Frequently"/>
    <n v="809"/>
    <x v="0"/>
    <n v="12"/>
    <n v="3"/>
    <s v="Marketing"/>
    <n v="1"/>
    <n v="174"/>
    <x v="1"/>
    <x v="0"/>
    <x v="57"/>
    <x v="0"/>
    <x v="2"/>
    <x v="0"/>
    <x v="0"/>
    <x v="0"/>
    <x v="128"/>
    <x v="131"/>
    <x v="5"/>
    <s v="Y"/>
    <s v="No"/>
    <x v="0"/>
    <x v="0"/>
    <n v="4"/>
    <x v="0"/>
    <n v="0"/>
    <x v="28"/>
    <n v="3"/>
    <x v="1"/>
    <x v="4"/>
    <x v="3"/>
    <x v="3"/>
    <x v="9"/>
  </r>
  <r>
    <x v="12"/>
    <x v="0"/>
    <s v="Travel_Rarely"/>
    <n v="542"/>
    <x v="0"/>
    <n v="20"/>
    <n v="3"/>
    <s v="Life Sciences"/>
    <n v="1"/>
    <n v="175"/>
    <x v="0"/>
    <x v="0"/>
    <x v="36"/>
    <x v="3"/>
    <x v="0"/>
    <x v="0"/>
    <x v="2"/>
    <x v="1"/>
    <x v="129"/>
    <x v="132"/>
    <x v="9"/>
    <s v="Y"/>
    <s v="Yes"/>
    <x v="0"/>
    <x v="0"/>
    <n v="3"/>
    <x v="0"/>
    <n v="1"/>
    <x v="21"/>
    <n v="2"/>
    <x v="1"/>
    <x v="4"/>
    <x v="3"/>
    <x v="3"/>
    <x v="3"/>
  </r>
  <r>
    <x v="0"/>
    <x v="1"/>
    <s v="Travel_Rarely"/>
    <n v="802"/>
    <x v="0"/>
    <n v="9"/>
    <n v="1"/>
    <s v="Life Sciences"/>
    <n v="1"/>
    <n v="176"/>
    <x v="1"/>
    <x v="1"/>
    <x v="16"/>
    <x v="0"/>
    <x v="2"/>
    <x v="0"/>
    <x v="2"/>
    <x v="2"/>
    <x v="130"/>
    <x v="133"/>
    <x v="9"/>
    <s v="Y"/>
    <s v="Yes"/>
    <x v="4"/>
    <x v="0"/>
    <n v="3"/>
    <x v="0"/>
    <n v="1"/>
    <x v="4"/>
    <n v="2"/>
    <x v="1"/>
    <x v="7"/>
    <x v="1"/>
    <x v="0"/>
    <x v="1"/>
  </r>
  <r>
    <x v="25"/>
    <x v="1"/>
    <s v="Travel_Rarely"/>
    <n v="1355"/>
    <x v="2"/>
    <n v="25"/>
    <n v="1"/>
    <s v="Life Sciences"/>
    <n v="1"/>
    <n v="177"/>
    <x v="1"/>
    <x v="0"/>
    <x v="1"/>
    <x v="0"/>
    <x v="1"/>
    <x v="8"/>
    <x v="2"/>
    <x v="1"/>
    <x v="131"/>
    <x v="134"/>
    <x v="1"/>
    <s v="Y"/>
    <s v="No"/>
    <x v="1"/>
    <x v="1"/>
    <n v="4"/>
    <x v="0"/>
    <n v="1"/>
    <x v="0"/>
    <n v="3"/>
    <x v="1"/>
    <x v="3"/>
    <x v="1"/>
    <x v="8"/>
    <x v="1"/>
  </r>
  <r>
    <x v="9"/>
    <x v="1"/>
    <s v="Travel_Rarely"/>
    <n v="216"/>
    <x v="1"/>
    <n v="6"/>
    <n v="2"/>
    <s v="Medical"/>
    <n v="1"/>
    <n v="178"/>
    <x v="0"/>
    <x v="1"/>
    <x v="9"/>
    <x v="0"/>
    <x v="0"/>
    <x v="3"/>
    <x v="1"/>
    <x v="2"/>
    <x v="132"/>
    <x v="135"/>
    <x v="2"/>
    <s v="Y"/>
    <s v="No"/>
    <x v="5"/>
    <x v="1"/>
    <n v="4"/>
    <x v="0"/>
    <n v="2"/>
    <x v="2"/>
    <n v="0"/>
    <x v="1"/>
    <x v="11"/>
    <x v="3"/>
    <x v="0"/>
    <x v="9"/>
  </r>
  <r>
    <x v="31"/>
    <x v="0"/>
    <s v="Travel_Frequently"/>
    <n v="1150"/>
    <x v="1"/>
    <n v="8"/>
    <n v="4"/>
    <s v="Life Sciences"/>
    <n v="1"/>
    <n v="179"/>
    <x v="3"/>
    <x v="1"/>
    <x v="20"/>
    <x v="3"/>
    <x v="2"/>
    <x v="3"/>
    <x v="0"/>
    <x v="0"/>
    <x v="133"/>
    <x v="136"/>
    <x v="7"/>
    <s v="Y"/>
    <s v="No"/>
    <x v="2"/>
    <x v="0"/>
    <n v="4"/>
    <x v="0"/>
    <n v="0"/>
    <x v="33"/>
    <n v="2"/>
    <x v="1"/>
    <x v="9"/>
    <x v="3"/>
    <x v="0"/>
    <x v="6"/>
  </r>
  <r>
    <x v="22"/>
    <x v="1"/>
    <s v="Travel_Rarely"/>
    <n v="1329"/>
    <x v="0"/>
    <n v="4"/>
    <n v="4"/>
    <s v="Life Sciences"/>
    <n v="1"/>
    <n v="182"/>
    <x v="2"/>
    <x v="0"/>
    <x v="35"/>
    <x v="1"/>
    <x v="0"/>
    <x v="0"/>
    <x v="2"/>
    <x v="1"/>
    <x v="134"/>
    <x v="137"/>
    <x v="5"/>
    <s v="Y"/>
    <s v="No"/>
    <x v="9"/>
    <x v="0"/>
    <n v="3"/>
    <x v="0"/>
    <n v="1"/>
    <x v="6"/>
    <n v="1"/>
    <x v="3"/>
    <x v="15"/>
    <x v="14"/>
    <x v="8"/>
    <x v="12"/>
  </r>
  <r>
    <x v="36"/>
    <x v="1"/>
    <s v="Travel_Rarely"/>
    <n v="959"/>
    <x v="0"/>
    <n v="28"/>
    <n v="3"/>
    <s v="Life Sciences"/>
    <n v="1"/>
    <n v="183"/>
    <x v="3"/>
    <x v="1"/>
    <x v="26"/>
    <x v="1"/>
    <x v="0"/>
    <x v="0"/>
    <x v="2"/>
    <x v="1"/>
    <x v="135"/>
    <x v="138"/>
    <x v="7"/>
    <s v="Y"/>
    <s v="No"/>
    <x v="11"/>
    <x v="0"/>
    <n v="4"/>
    <x v="0"/>
    <n v="0"/>
    <x v="3"/>
    <n v="3"/>
    <x v="1"/>
    <x v="4"/>
    <x v="3"/>
    <x v="3"/>
    <x v="3"/>
  </r>
  <r>
    <x v="7"/>
    <x v="1"/>
    <s v="Travel_Rarely"/>
    <n v="1240"/>
    <x v="2"/>
    <n v="9"/>
    <n v="3"/>
    <s v="Human Resources"/>
    <n v="1"/>
    <n v="184"/>
    <x v="1"/>
    <x v="1"/>
    <x v="24"/>
    <x v="0"/>
    <x v="0"/>
    <x v="8"/>
    <x v="0"/>
    <x v="1"/>
    <x v="136"/>
    <x v="139"/>
    <x v="4"/>
    <s v="Y"/>
    <s v="Yes"/>
    <x v="12"/>
    <x v="0"/>
    <n v="4"/>
    <x v="0"/>
    <n v="0"/>
    <x v="4"/>
    <n v="2"/>
    <x v="0"/>
    <x v="19"/>
    <x v="5"/>
    <x v="5"/>
    <x v="1"/>
  </r>
  <r>
    <x v="5"/>
    <x v="0"/>
    <s v="Travel_Rarely"/>
    <n v="1033"/>
    <x v="1"/>
    <n v="9"/>
    <n v="3"/>
    <s v="Medical"/>
    <n v="1"/>
    <n v="190"/>
    <x v="3"/>
    <x v="0"/>
    <x v="26"/>
    <x v="0"/>
    <x v="1"/>
    <x v="2"/>
    <x v="3"/>
    <x v="0"/>
    <x v="137"/>
    <x v="140"/>
    <x v="8"/>
    <s v="Y"/>
    <s v="No"/>
    <x v="6"/>
    <x v="1"/>
    <n v="1"/>
    <x v="0"/>
    <n v="0"/>
    <x v="1"/>
    <n v="2"/>
    <x v="3"/>
    <x v="8"/>
    <x v="0"/>
    <x v="0"/>
    <x v="10"/>
  </r>
  <r>
    <x v="28"/>
    <x v="1"/>
    <s v="Travel_Rarely"/>
    <n v="1316"/>
    <x v="1"/>
    <n v="29"/>
    <n v="3"/>
    <s v="Medical"/>
    <n v="1"/>
    <n v="192"/>
    <x v="1"/>
    <x v="1"/>
    <x v="21"/>
    <x v="0"/>
    <x v="1"/>
    <x v="1"/>
    <x v="0"/>
    <x v="0"/>
    <x v="138"/>
    <x v="141"/>
    <x v="6"/>
    <s v="Y"/>
    <s v="No"/>
    <x v="4"/>
    <x v="0"/>
    <n v="2"/>
    <x v="0"/>
    <n v="0"/>
    <x v="15"/>
    <n v="2"/>
    <x v="2"/>
    <x v="0"/>
    <x v="4"/>
    <x v="0"/>
    <x v="6"/>
  </r>
  <r>
    <x v="8"/>
    <x v="1"/>
    <s v="Travel_Rarely"/>
    <n v="364"/>
    <x v="1"/>
    <n v="3"/>
    <n v="5"/>
    <s v="Technical Degree"/>
    <n v="1"/>
    <n v="193"/>
    <x v="2"/>
    <x v="0"/>
    <x v="47"/>
    <x v="0"/>
    <x v="0"/>
    <x v="1"/>
    <x v="2"/>
    <x v="0"/>
    <x v="139"/>
    <x v="142"/>
    <x v="9"/>
    <s v="Y"/>
    <s v="Yes"/>
    <x v="5"/>
    <x v="1"/>
    <n v="2"/>
    <x v="0"/>
    <n v="0"/>
    <x v="16"/>
    <n v="2"/>
    <x v="1"/>
    <x v="11"/>
    <x v="3"/>
    <x v="3"/>
    <x v="3"/>
  </r>
  <r>
    <x v="7"/>
    <x v="1"/>
    <s v="Travel_Rarely"/>
    <n v="438"/>
    <x v="1"/>
    <n v="18"/>
    <n v="3"/>
    <s v="Life Sciences"/>
    <n v="1"/>
    <n v="194"/>
    <x v="3"/>
    <x v="0"/>
    <x v="29"/>
    <x v="0"/>
    <x v="1"/>
    <x v="1"/>
    <x v="2"/>
    <x v="0"/>
    <x v="140"/>
    <x v="143"/>
    <x v="1"/>
    <s v="Y"/>
    <s v="No"/>
    <x v="9"/>
    <x v="0"/>
    <n v="3"/>
    <x v="0"/>
    <n v="0"/>
    <x v="7"/>
    <n v="4"/>
    <x v="2"/>
    <x v="8"/>
    <x v="0"/>
    <x v="0"/>
    <x v="10"/>
  </r>
  <r>
    <x v="5"/>
    <x v="1"/>
    <s v="Travel_Frequently"/>
    <n v="689"/>
    <x v="0"/>
    <n v="9"/>
    <n v="2"/>
    <s v="Medical"/>
    <n v="1"/>
    <n v="195"/>
    <x v="2"/>
    <x v="1"/>
    <x v="58"/>
    <x v="3"/>
    <x v="0"/>
    <x v="0"/>
    <x v="0"/>
    <x v="2"/>
    <x v="141"/>
    <x v="144"/>
    <x v="4"/>
    <s v="Y"/>
    <s v="No"/>
    <x v="8"/>
    <x v="0"/>
    <n v="4"/>
    <x v="0"/>
    <n v="3"/>
    <x v="15"/>
    <n v="2"/>
    <x v="3"/>
    <x v="3"/>
    <x v="1"/>
    <x v="0"/>
    <x v="1"/>
  </r>
  <r>
    <x v="7"/>
    <x v="1"/>
    <s v="Travel_Rarely"/>
    <n v="201"/>
    <x v="1"/>
    <n v="5"/>
    <n v="3"/>
    <s v="Technical Degree"/>
    <n v="1"/>
    <n v="197"/>
    <x v="2"/>
    <x v="0"/>
    <x v="9"/>
    <x v="0"/>
    <x v="1"/>
    <x v="1"/>
    <x v="3"/>
    <x v="2"/>
    <x v="142"/>
    <x v="145"/>
    <x v="6"/>
    <s v="Y"/>
    <s v="No"/>
    <x v="9"/>
    <x v="0"/>
    <n v="4"/>
    <x v="0"/>
    <n v="1"/>
    <x v="0"/>
    <n v="3"/>
    <x v="1"/>
    <x v="11"/>
    <x v="3"/>
    <x v="3"/>
    <x v="3"/>
  </r>
  <r>
    <x v="7"/>
    <x v="1"/>
    <s v="Travel_Rarely"/>
    <n v="1427"/>
    <x v="1"/>
    <n v="2"/>
    <n v="1"/>
    <s v="Medical"/>
    <n v="1"/>
    <n v="198"/>
    <x v="0"/>
    <x v="1"/>
    <x v="58"/>
    <x v="1"/>
    <x v="1"/>
    <x v="2"/>
    <x v="0"/>
    <x v="0"/>
    <x v="143"/>
    <x v="146"/>
    <x v="4"/>
    <s v="Y"/>
    <s v="No"/>
    <x v="4"/>
    <x v="0"/>
    <n v="4"/>
    <x v="0"/>
    <n v="0"/>
    <x v="3"/>
    <n v="3"/>
    <x v="1"/>
    <x v="8"/>
    <x v="7"/>
    <x v="1"/>
    <x v="3"/>
  </r>
  <r>
    <x v="0"/>
    <x v="1"/>
    <s v="Travel_Frequently"/>
    <n v="857"/>
    <x v="1"/>
    <n v="10"/>
    <n v="3"/>
    <s v="Life Sciences"/>
    <n v="1"/>
    <n v="199"/>
    <x v="2"/>
    <x v="1"/>
    <x v="59"/>
    <x v="1"/>
    <x v="3"/>
    <x v="5"/>
    <x v="3"/>
    <x v="2"/>
    <x v="144"/>
    <x v="147"/>
    <x v="5"/>
    <s v="Y"/>
    <s v="No"/>
    <x v="4"/>
    <x v="0"/>
    <n v="2"/>
    <x v="0"/>
    <n v="1"/>
    <x v="24"/>
    <n v="2"/>
    <x v="2"/>
    <x v="5"/>
    <x v="8"/>
    <x v="4"/>
    <x v="1"/>
  </r>
  <r>
    <x v="0"/>
    <x v="1"/>
    <s v="Travel_Rarely"/>
    <n v="933"/>
    <x v="1"/>
    <n v="9"/>
    <n v="4"/>
    <s v="Life Sciences"/>
    <n v="1"/>
    <n v="200"/>
    <x v="1"/>
    <x v="1"/>
    <x v="0"/>
    <x v="0"/>
    <x v="1"/>
    <x v="2"/>
    <x v="3"/>
    <x v="1"/>
    <x v="145"/>
    <x v="148"/>
    <x v="7"/>
    <s v="Y"/>
    <s v="No"/>
    <x v="7"/>
    <x v="1"/>
    <n v="4"/>
    <x v="0"/>
    <n v="1"/>
    <x v="2"/>
    <n v="2"/>
    <x v="1"/>
    <x v="8"/>
    <x v="2"/>
    <x v="1"/>
    <x v="10"/>
  </r>
  <r>
    <x v="37"/>
    <x v="1"/>
    <s v="Travel_Rarely"/>
    <n v="1181"/>
    <x v="1"/>
    <n v="3"/>
    <n v="1"/>
    <s v="Medical"/>
    <n v="1"/>
    <n v="201"/>
    <x v="0"/>
    <x v="0"/>
    <x v="5"/>
    <x v="0"/>
    <x v="1"/>
    <x v="2"/>
    <x v="1"/>
    <x v="0"/>
    <x v="146"/>
    <x v="149"/>
    <x v="1"/>
    <s v="Y"/>
    <s v="No"/>
    <x v="9"/>
    <x v="0"/>
    <n v="4"/>
    <x v="0"/>
    <n v="0"/>
    <x v="5"/>
    <n v="3"/>
    <x v="1"/>
    <x v="6"/>
    <x v="2"/>
    <x v="0"/>
    <x v="2"/>
  </r>
  <r>
    <x v="32"/>
    <x v="1"/>
    <s v="Travel_Frequently"/>
    <n v="1395"/>
    <x v="1"/>
    <n v="26"/>
    <n v="3"/>
    <s v="Medical"/>
    <n v="1"/>
    <n v="202"/>
    <x v="0"/>
    <x v="0"/>
    <x v="60"/>
    <x v="0"/>
    <x v="0"/>
    <x v="1"/>
    <x v="1"/>
    <x v="2"/>
    <x v="147"/>
    <x v="150"/>
    <x v="1"/>
    <s v="Y"/>
    <s v="No"/>
    <x v="0"/>
    <x v="0"/>
    <n v="1"/>
    <x v="0"/>
    <n v="1"/>
    <x v="26"/>
    <n v="2"/>
    <x v="1"/>
    <x v="23"/>
    <x v="1"/>
    <x v="3"/>
    <x v="15"/>
  </r>
  <r>
    <x v="10"/>
    <x v="1"/>
    <s v="Travel_Rarely"/>
    <n v="662"/>
    <x v="0"/>
    <n v="1"/>
    <n v="5"/>
    <s v="Marketing"/>
    <n v="1"/>
    <n v="204"/>
    <x v="1"/>
    <x v="1"/>
    <x v="0"/>
    <x v="0"/>
    <x v="2"/>
    <x v="0"/>
    <x v="1"/>
    <x v="1"/>
    <x v="148"/>
    <x v="151"/>
    <x v="1"/>
    <s v="Y"/>
    <s v="No"/>
    <x v="4"/>
    <x v="0"/>
    <n v="1"/>
    <x v="0"/>
    <n v="2"/>
    <x v="1"/>
    <n v="3"/>
    <x v="1"/>
    <x v="1"/>
    <x v="6"/>
    <x v="0"/>
    <x v="4"/>
  </r>
  <r>
    <x v="16"/>
    <x v="1"/>
    <s v="Travel_Rarely"/>
    <n v="1436"/>
    <x v="0"/>
    <n v="6"/>
    <n v="2"/>
    <s v="Marketing"/>
    <n v="1"/>
    <n v="205"/>
    <x v="0"/>
    <x v="1"/>
    <x v="61"/>
    <x v="0"/>
    <x v="0"/>
    <x v="6"/>
    <x v="2"/>
    <x v="1"/>
    <x v="149"/>
    <x v="152"/>
    <x v="7"/>
    <s v="Y"/>
    <s v="Yes"/>
    <x v="5"/>
    <x v="1"/>
    <n v="4"/>
    <x v="0"/>
    <n v="1"/>
    <x v="10"/>
    <n v="3"/>
    <x v="0"/>
    <x v="5"/>
    <x v="1"/>
    <x v="5"/>
    <x v="0"/>
  </r>
  <r>
    <x v="28"/>
    <x v="1"/>
    <s v="Travel_Rarely"/>
    <n v="194"/>
    <x v="1"/>
    <n v="9"/>
    <n v="3"/>
    <s v="Life Sciences"/>
    <n v="1"/>
    <n v="206"/>
    <x v="0"/>
    <x v="1"/>
    <x v="53"/>
    <x v="0"/>
    <x v="0"/>
    <x v="2"/>
    <x v="1"/>
    <x v="2"/>
    <x v="150"/>
    <x v="153"/>
    <x v="0"/>
    <s v="Y"/>
    <s v="No"/>
    <x v="11"/>
    <x v="0"/>
    <n v="3"/>
    <x v="0"/>
    <n v="1"/>
    <x v="26"/>
    <n v="2"/>
    <x v="0"/>
    <x v="18"/>
    <x v="5"/>
    <x v="0"/>
    <x v="14"/>
  </r>
  <r>
    <x v="5"/>
    <x v="1"/>
    <s v="Travel_Frequently"/>
    <n v="967"/>
    <x v="0"/>
    <n v="8"/>
    <n v="3"/>
    <s v="Marketing"/>
    <n v="1"/>
    <n v="207"/>
    <x v="0"/>
    <x v="0"/>
    <x v="38"/>
    <x v="0"/>
    <x v="2"/>
    <x v="0"/>
    <x v="0"/>
    <x v="0"/>
    <x v="151"/>
    <x v="154"/>
    <x v="1"/>
    <s v="Y"/>
    <s v="No"/>
    <x v="9"/>
    <x v="0"/>
    <n v="4"/>
    <x v="0"/>
    <n v="0"/>
    <x v="15"/>
    <n v="2"/>
    <x v="1"/>
    <x v="7"/>
    <x v="6"/>
    <x v="2"/>
    <x v="1"/>
  </r>
  <r>
    <x v="11"/>
    <x v="1"/>
    <s v="Non-Travel"/>
    <n v="1496"/>
    <x v="1"/>
    <n v="1"/>
    <n v="1"/>
    <s v="Technical Degree"/>
    <n v="1"/>
    <n v="208"/>
    <x v="2"/>
    <x v="1"/>
    <x v="26"/>
    <x v="0"/>
    <x v="0"/>
    <x v="3"/>
    <x v="2"/>
    <x v="1"/>
    <x v="152"/>
    <x v="155"/>
    <x v="1"/>
    <s v="Y"/>
    <s v="No"/>
    <x v="4"/>
    <x v="0"/>
    <n v="1"/>
    <x v="0"/>
    <n v="1"/>
    <x v="1"/>
    <n v="1"/>
    <x v="1"/>
    <x v="1"/>
    <x v="1"/>
    <x v="0"/>
    <x v="12"/>
  </r>
  <r>
    <x v="31"/>
    <x v="1"/>
    <s v="Travel_Rarely"/>
    <n v="1169"/>
    <x v="1"/>
    <n v="7"/>
    <n v="4"/>
    <s v="Medical"/>
    <n v="1"/>
    <n v="211"/>
    <x v="0"/>
    <x v="1"/>
    <x v="61"/>
    <x v="1"/>
    <x v="0"/>
    <x v="3"/>
    <x v="2"/>
    <x v="1"/>
    <x v="153"/>
    <x v="156"/>
    <x v="7"/>
    <s v="Y"/>
    <s v="No"/>
    <x v="8"/>
    <x v="0"/>
    <n v="3"/>
    <x v="0"/>
    <n v="0"/>
    <x v="1"/>
    <n v="2"/>
    <x v="1"/>
    <x v="6"/>
    <x v="2"/>
    <x v="0"/>
    <x v="2"/>
  </r>
  <r>
    <x v="34"/>
    <x v="1"/>
    <s v="Travel_Rarely"/>
    <n v="1145"/>
    <x v="1"/>
    <n v="9"/>
    <n v="3"/>
    <s v="Medical"/>
    <n v="1"/>
    <n v="214"/>
    <x v="0"/>
    <x v="0"/>
    <x v="29"/>
    <x v="1"/>
    <x v="1"/>
    <x v="1"/>
    <x v="1"/>
    <x v="1"/>
    <x v="154"/>
    <x v="157"/>
    <x v="5"/>
    <s v="Y"/>
    <s v="Yes"/>
    <x v="5"/>
    <x v="1"/>
    <n v="2"/>
    <x v="0"/>
    <n v="1"/>
    <x v="15"/>
    <n v="3"/>
    <x v="2"/>
    <x v="6"/>
    <x v="2"/>
    <x v="0"/>
    <x v="2"/>
  </r>
  <r>
    <x v="32"/>
    <x v="1"/>
    <s v="Travel_Rarely"/>
    <n v="630"/>
    <x v="0"/>
    <n v="4"/>
    <n v="4"/>
    <s v="Marketing"/>
    <n v="1"/>
    <n v="215"/>
    <x v="1"/>
    <x v="1"/>
    <x v="7"/>
    <x v="1"/>
    <x v="2"/>
    <x v="0"/>
    <x v="0"/>
    <x v="1"/>
    <x v="155"/>
    <x v="158"/>
    <x v="8"/>
    <s v="Y"/>
    <s v="No"/>
    <x v="0"/>
    <x v="0"/>
    <n v="1"/>
    <x v="0"/>
    <n v="1"/>
    <x v="20"/>
    <n v="2"/>
    <x v="2"/>
    <x v="12"/>
    <x v="14"/>
    <x v="3"/>
    <x v="7"/>
  </r>
  <r>
    <x v="13"/>
    <x v="1"/>
    <s v="Travel_Frequently"/>
    <n v="303"/>
    <x v="0"/>
    <n v="2"/>
    <n v="4"/>
    <s v="Marketing"/>
    <n v="1"/>
    <n v="216"/>
    <x v="1"/>
    <x v="0"/>
    <x v="29"/>
    <x v="0"/>
    <x v="1"/>
    <x v="6"/>
    <x v="2"/>
    <x v="1"/>
    <x v="156"/>
    <x v="159"/>
    <x v="2"/>
    <s v="Y"/>
    <s v="No"/>
    <x v="11"/>
    <x v="0"/>
    <n v="4"/>
    <x v="0"/>
    <n v="1"/>
    <x v="3"/>
    <n v="3"/>
    <x v="1"/>
    <x v="9"/>
    <x v="7"/>
    <x v="1"/>
    <x v="3"/>
  </r>
  <r>
    <x v="15"/>
    <x v="1"/>
    <s v="Travel_Rarely"/>
    <n v="1256"/>
    <x v="1"/>
    <n v="19"/>
    <n v="1"/>
    <s v="Medical"/>
    <n v="1"/>
    <n v="217"/>
    <x v="1"/>
    <x v="1"/>
    <x v="15"/>
    <x v="0"/>
    <x v="1"/>
    <x v="1"/>
    <x v="0"/>
    <x v="1"/>
    <x v="157"/>
    <x v="160"/>
    <x v="1"/>
    <s v="Y"/>
    <s v="No"/>
    <x v="13"/>
    <x v="1"/>
    <n v="1"/>
    <x v="0"/>
    <n v="2"/>
    <x v="17"/>
    <n v="6"/>
    <x v="1"/>
    <x v="4"/>
    <x v="3"/>
    <x v="3"/>
    <x v="3"/>
  </r>
  <r>
    <x v="4"/>
    <x v="1"/>
    <s v="Non-Travel"/>
    <n v="691"/>
    <x v="1"/>
    <n v="9"/>
    <n v="3"/>
    <s v="Medical"/>
    <n v="1"/>
    <n v="218"/>
    <x v="2"/>
    <x v="1"/>
    <x v="42"/>
    <x v="0"/>
    <x v="1"/>
    <x v="1"/>
    <x v="1"/>
    <x v="2"/>
    <x v="158"/>
    <x v="161"/>
    <x v="2"/>
    <s v="Y"/>
    <s v="No"/>
    <x v="11"/>
    <x v="0"/>
    <n v="4"/>
    <x v="0"/>
    <n v="1"/>
    <x v="3"/>
    <n v="1"/>
    <x v="0"/>
    <x v="4"/>
    <x v="3"/>
    <x v="3"/>
    <x v="3"/>
  </r>
  <r>
    <x v="14"/>
    <x v="1"/>
    <s v="Travel_Rarely"/>
    <n v="440"/>
    <x v="1"/>
    <n v="21"/>
    <n v="3"/>
    <s v="Medical"/>
    <n v="1"/>
    <n v="221"/>
    <x v="1"/>
    <x v="1"/>
    <x v="25"/>
    <x v="0"/>
    <x v="1"/>
    <x v="1"/>
    <x v="0"/>
    <x v="1"/>
    <x v="159"/>
    <x v="162"/>
    <x v="1"/>
    <s v="Y"/>
    <s v="No"/>
    <x v="0"/>
    <x v="0"/>
    <n v="3"/>
    <x v="0"/>
    <n v="1"/>
    <x v="7"/>
    <n v="2"/>
    <x v="0"/>
    <x v="8"/>
    <x v="3"/>
    <x v="0"/>
    <x v="3"/>
  </r>
  <r>
    <x v="38"/>
    <x v="1"/>
    <s v="Travel_Rarely"/>
    <n v="334"/>
    <x v="1"/>
    <n v="24"/>
    <n v="2"/>
    <s v="Life Sciences"/>
    <n v="1"/>
    <n v="223"/>
    <x v="1"/>
    <x v="1"/>
    <x v="21"/>
    <x v="2"/>
    <x v="2"/>
    <x v="4"/>
    <x v="0"/>
    <x v="2"/>
    <x v="160"/>
    <x v="163"/>
    <x v="9"/>
    <s v="Y"/>
    <s v="Yes"/>
    <x v="10"/>
    <x v="0"/>
    <n v="2"/>
    <x v="0"/>
    <n v="1"/>
    <x v="4"/>
    <n v="2"/>
    <x v="0"/>
    <x v="8"/>
    <x v="7"/>
    <x v="1"/>
    <x v="10"/>
  </r>
  <r>
    <x v="4"/>
    <x v="1"/>
    <s v="Non-Travel"/>
    <n v="1450"/>
    <x v="1"/>
    <n v="3"/>
    <n v="3"/>
    <s v="Medical"/>
    <n v="1"/>
    <n v="224"/>
    <x v="1"/>
    <x v="1"/>
    <x v="5"/>
    <x v="1"/>
    <x v="1"/>
    <x v="1"/>
    <x v="2"/>
    <x v="2"/>
    <x v="161"/>
    <x v="164"/>
    <x v="1"/>
    <s v="Y"/>
    <s v="Yes"/>
    <x v="2"/>
    <x v="0"/>
    <n v="4"/>
    <x v="0"/>
    <n v="1"/>
    <x v="5"/>
    <n v="2"/>
    <x v="2"/>
    <x v="6"/>
    <x v="10"/>
    <x v="0"/>
    <x v="9"/>
  </r>
  <r>
    <x v="24"/>
    <x v="1"/>
    <s v="Travel_Rarely"/>
    <n v="1452"/>
    <x v="1"/>
    <n v="11"/>
    <n v="3"/>
    <s v="Life Sciences"/>
    <n v="1"/>
    <n v="226"/>
    <x v="1"/>
    <x v="0"/>
    <x v="20"/>
    <x v="0"/>
    <x v="4"/>
    <x v="5"/>
    <x v="1"/>
    <x v="0"/>
    <x v="162"/>
    <x v="165"/>
    <x v="9"/>
    <s v="Y"/>
    <s v="No"/>
    <x v="2"/>
    <x v="0"/>
    <n v="2"/>
    <x v="0"/>
    <n v="0"/>
    <x v="24"/>
    <n v="5"/>
    <x v="1"/>
    <x v="8"/>
    <x v="0"/>
    <x v="5"/>
    <x v="10"/>
  </r>
  <r>
    <x v="0"/>
    <x v="1"/>
    <s v="Travel_Rarely"/>
    <n v="465"/>
    <x v="1"/>
    <n v="14"/>
    <n v="3"/>
    <s v="Life Sciences"/>
    <n v="1"/>
    <n v="227"/>
    <x v="3"/>
    <x v="1"/>
    <x v="3"/>
    <x v="0"/>
    <x v="1"/>
    <x v="1"/>
    <x v="2"/>
    <x v="2"/>
    <x v="163"/>
    <x v="166"/>
    <x v="5"/>
    <s v="Y"/>
    <s v="No"/>
    <x v="3"/>
    <x v="0"/>
    <n v="1"/>
    <x v="0"/>
    <n v="1"/>
    <x v="10"/>
    <n v="2"/>
    <x v="1"/>
    <x v="7"/>
    <x v="6"/>
    <x v="1"/>
    <x v="5"/>
  </r>
  <r>
    <x v="7"/>
    <x v="1"/>
    <s v="Travel_Rarely"/>
    <n v="1339"/>
    <x v="0"/>
    <n v="5"/>
    <n v="3"/>
    <s v="Life Sciences"/>
    <n v="1"/>
    <n v="228"/>
    <x v="0"/>
    <x v="0"/>
    <x v="26"/>
    <x v="0"/>
    <x v="2"/>
    <x v="0"/>
    <x v="0"/>
    <x v="1"/>
    <x v="164"/>
    <x v="167"/>
    <x v="7"/>
    <s v="Y"/>
    <s v="No"/>
    <x v="3"/>
    <x v="0"/>
    <n v="3"/>
    <x v="0"/>
    <n v="1"/>
    <x v="4"/>
    <n v="2"/>
    <x v="1"/>
    <x v="1"/>
    <x v="5"/>
    <x v="4"/>
    <x v="10"/>
  </r>
  <r>
    <x v="8"/>
    <x v="1"/>
    <s v="Travel_Rarely"/>
    <n v="702"/>
    <x v="0"/>
    <n v="1"/>
    <n v="4"/>
    <s v="Life Sciences"/>
    <n v="1"/>
    <n v="230"/>
    <x v="3"/>
    <x v="0"/>
    <x v="40"/>
    <x v="1"/>
    <x v="0"/>
    <x v="0"/>
    <x v="0"/>
    <x v="0"/>
    <x v="165"/>
    <x v="168"/>
    <x v="5"/>
    <s v="Y"/>
    <s v="No"/>
    <x v="6"/>
    <x v="1"/>
    <n v="3"/>
    <x v="0"/>
    <n v="0"/>
    <x v="4"/>
    <n v="2"/>
    <x v="3"/>
    <x v="3"/>
    <x v="7"/>
    <x v="0"/>
    <x v="1"/>
  </r>
  <r>
    <x v="5"/>
    <x v="1"/>
    <s v="Travel_Rarely"/>
    <n v="120"/>
    <x v="1"/>
    <n v="6"/>
    <n v="5"/>
    <s v="Life Sciences"/>
    <n v="1"/>
    <n v="231"/>
    <x v="1"/>
    <x v="1"/>
    <x v="38"/>
    <x v="0"/>
    <x v="1"/>
    <x v="1"/>
    <x v="2"/>
    <x v="0"/>
    <x v="71"/>
    <x v="169"/>
    <x v="9"/>
    <s v="Y"/>
    <s v="No"/>
    <x v="5"/>
    <x v="1"/>
    <n v="1"/>
    <x v="0"/>
    <n v="0"/>
    <x v="0"/>
    <n v="2"/>
    <x v="1"/>
    <x v="8"/>
    <x v="0"/>
    <x v="1"/>
    <x v="10"/>
  </r>
  <r>
    <x v="4"/>
    <x v="1"/>
    <s v="Travel_Rarely"/>
    <n v="1157"/>
    <x v="1"/>
    <n v="17"/>
    <n v="3"/>
    <s v="Technical Degree"/>
    <n v="1"/>
    <n v="233"/>
    <x v="1"/>
    <x v="1"/>
    <x v="14"/>
    <x v="0"/>
    <x v="1"/>
    <x v="1"/>
    <x v="1"/>
    <x v="1"/>
    <x v="166"/>
    <x v="170"/>
    <x v="4"/>
    <s v="Y"/>
    <s v="Yes"/>
    <x v="10"/>
    <x v="0"/>
    <n v="4"/>
    <x v="0"/>
    <n v="1"/>
    <x v="3"/>
    <n v="3"/>
    <x v="2"/>
    <x v="8"/>
    <x v="3"/>
    <x v="1"/>
    <x v="9"/>
  </r>
  <r>
    <x v="37"/>
    <x v="0"/>
    <s v="Travel_Frequently"/>
    <n v="602"/>
    <x v="0"/>
    <n v="1"/>
    <n v="1"/>
    <s v="Technical Degree"/>
    <n v="1"/>
    <n v="235"/>
    <x v="1"/>
    <x v="0"/>
    <x v="54"/>
    <x v="3"/>
    <x v="1"/>
    <x v="6"/>
    <x v="3"/>
    <x v="0"/>
    <x v="167"/>
    <x v="171"/>
    <x v="4"/>
    <s v="Y"/>
    <s v="No"/>
    <x v="7"/>
    <x v="1"/>
    <n v="1"/>
    <x v="0"/>
    <n v="0"/>
    <x v="5"/>
    <n v="5"/>
    <x v="3"/>
    <x v="2"/>
    <x v="2"/>
    <x v="0"/>
    <x v="2"/>
  </r>
  <r>
    <x v="9"/>
    <x v="1"/>
    <s v="Travel_Frequently"/>
    <n v="1480"/>
    <x v="1"/>
    <n v="3"/>
    <n v="2"/>
    <s v="Medical"/>
    <n v="1"/>
    <n v="238"/>
    <x v="2"/>
    <x v="1"/>
    <x v="37"/>
    <x v="0"/>
    <x v="1"/>
    <x v="2"/>
    <x v="1"/>
    <x v="0"/>
    <x v="168"/>
    <x v="172"/>
    <x v="5"/>
    <s v="Y"/>
    <s v="No"/>
    <x v="3"/>
    <x v="0"/>
    <n v="3"/>
    <x v="0"/>
    <n v="0"/>
    <x v="10"/>
    <n v="3"/>
    <x v="2"/>
    <x v="3"/>
    <x v="1"/>
    <x v="4"/>
    <x v="3"/>
  </r>
  <r>
    <x v="7"/>
    <x v="1"/>
    <s v="Non-Travel"/>
    <n v="111"/>
    <x v="1"/>
    <n v="9"/>
    <n v="3"/>
    <s v="Medical"/>
    <n v="1"/>
    <n v="239"/>
    <x v="1"/>
    <x v="1"/>
    <x v="45"/>
    <x v="0"/>
    <x v="0"/>
    <x v="2"/>
    <x v="3"/>
    <x v="2"/>
    <x v="169"/>
    <x v="173"/>
    <x v="1"/>
    <s v="Y"/>
    <s v="No"/>
    <x v="0"/>
    <x v="0"/>
    <n v="3"/>
    <x v="0"/>
    <n v="2"/>
    <x v="4"/>
    <n v="4"/>
    <x v="1"/>
    <x v="12"/>
    <x v="5"/>
    <x v="7"/>
    <x v="13"/>
  </r>
  <r>
    <x v="28"/>
    <x v="1"/>
    <s v="Travel_Rarely"/>
    <n v="1268"/>
    <x v="0"/>
    <n v="4"/>
    <n v="2"/>
    <s v="Life Sciences"/>
    <n v="1"/>
    <n v="240"/>
    <x v="1"/>
    <x v="0"/>
    <x v="37"/>
    <x v="0"/>
    <x v="0"/>
    <x v="0"/>
    <x v="3"/>
    <x v="2"/>
    <x v="170"/>
    <x v="174"/>
    <x v="5"/>
    <s v="Y"/>
    <s v="Yes"/>
    <x v="0"/>
    <x v="0"/>
    <n v="1"/>
    <x v="0"/>
    <n v="1"/>
    <x v="15"/>
    <n v="3"/>
    <x v="3"/>
    <x v="8"/>
    <x v="0"/>
    <x v="0"/>
    <x v="6"/>
  </r>
  <r>
    <x v="29"/>
    <x v="1"/>
    <s v="Travel_Rarely"/>
    <n v="713"/>
    <x v="1"/>
    <n v="8"/>
    <n v="3"/>
    <s v="Life Sciences"/>
    <n v="1"/>
    <n v="241"/>
    <x v="1"/>
    <x v="0"/>
    <x v="7"/>
    <x v="0"/>
    <x v="1"/>
    <x v="1"/>
    <x v="3"/>
    <x v="2"/>
    <x v="171"/>
    <x v="175"/>
    <x v="5"/>
    <s v="Y"/>
    <s v="Yes"/>
    <x v="11"/>
    <x v="0"/>
    <n v="3"/>
    <x v="0"/>
    <n v="1"/>
    <x v="16"/>
    <n v="3"/>
    <x v="1"/>
    <x v="4"/>
    <x v="3"/>
    <x v="3"/>
    <x v="3"/>
  </r>
  <r>
    <x v="3"/>
    <x v="1"/>
    <s v="Travel_Rarely"/>
    <n v="134"/>
    <x v="1"/>
    <n v="2"/>
    <n v="3"/>
    <s v="Life Sciences"/>
    <n v="1"/>
    <n v="242"/>
    <x v="1"/>
    <x v="1"/>
    <x v="62"/>
    <x v="0"/>
    <x v="1"/>
    <x v="1"/>
    <x v="0"/>
    <x v="0"/>
    <x v="172"/>
    <x v="176"/>
    <x v="4"/>
    <s v="Y"/>
    <s v="No"/>
    <x v="9"/>
    <x v="0"/>
    <n v="1"/>
    <x v="0"/>
    <n v="0"/>
    <x v="21"/>
    <n v="2"/>
    <x v="3"/>
    <x v="11"/>
    <x v="10"/>
    <x v="0"/>
    <x v="3"/>
  </r>
  <r>
    <x v="37"/>
    <x v="0"/>
    <s v="Travel_Rarely"/>
    <n v="303"/>
    <x v="1"/>
    <n v="2"/>
    <n v="3"/>
    <s v="Life Sciences"/>
    <n v="1"/>
    <n v="243"/>
    <x v="0"/>
    <x v="1"/>
    <x v="35"/>
    <x v="1"/>
    <x v="1"/>
    <x v="2"/>
    <x v="0"/>
    <x v="0"/>
    <x v="173"/>
    <x v="177"/>
    <x v="1"/>
    <s v="Y"/>
    <s v="No"/>
    <x v="6"/>
    <x v="1"/>
    <n v="3"/>
    <x v="0"/>
    <n v="0"/>
    <x v="5"/>
    <n v="3"/>
    <x v="2"/>
    <x v="6"/>
    <x v="2"/>
    <x v="1"/>
    <x v="2"/>
  </r>
  <r>
    <x v="21"/>
    <x v="1"/>
    <s v="Travel_Rarely"/>
    <n v="526"/>
    <x v="0"/>
    <n v="1"/>
    <n v="2"/>
    <s v="Marketing"/>
    <n v="1"/>
    <n v="244"/>
    <x v="0"/>
    <x v="0"/>
    <x v="2"/>
    <x v="0"/>
    <x v="2"/>
    <x v="0"/>
    <x v="3"/>
    <x v="2"/>
    <x v="174"/>
    <x v="178"/>
    <x v="1"/>
    <s v="Y"/>
    <s v="No"/>
    <x v="14"/>
    <x v="1"/>
    <n v="3"/>
    <x v="0"/>
    <n v="3"/>
    <x v="13"/>
    <n v="2"/>
    <x v="1"/>
    <x v="25"/>
    <x v="9"/>
    <x v="9"/>
    <x v="1"/>
  </r>
  <r>
    <x v="8"/>
    <x v="1"/>
    <s v="Travel_Rarely"/>
    <n v="1380"/>
    <x v="1"/>
    <n v="9"/>
    <n v="2"/>
    <s v="Life Sciences"/>
    <n v="1"/>
    <n v="245"/>
    <x v="1"/>
    <x v="0"/>
    <x v="29"/>
    <x v="0"/>
    <x v="1"/>
    <x v="2"/>
    <x v="0"/>
    <x v="0"/>
    <x v="175"/>
    <x v="174"/>
    <x v="1"/>
    <s v="Y"/>
    <s v="No"/>
    <x v="3"/>
    <x v="0"/>
    <n v="3"/>
    <x v="0"/>
    <n v="0"/>
    <x v="17"/>
    <n v="3"/>
    <x v="1"/>
    <x v="4"/>
    <x v="3"/>
    <x v="3"/>
    <x v="9"/>
  </r>
  <r>
    <x v="12"/>
    <x v="1"/>
    <s v="Travel_Rarely"/>
    <n v="140"/>
    <x v="1"/>
    <n v="12"/>
    <n v="1"/>
    <s v="Medical"/>
    <n v="1"/>
    <n v="246"/>
    <x v="1"/>
    <x v="0"/>
    <x v="41"/>
    <x v="0"/>
    <x v="1"/>
    <x v="1"/>
    <x v="0"/>
    <x v="1"/>
    <x v="176"/>
    <x v="179"/>
    <x v="0"/>
    <s v="Y"/>
    <s v="Yes"/>
    <x v="1"/>
    <x v="1"/>
    <n v="3"/>
    <x v="0"/>
    <n v="1"/>
    <x v="2"/>
    <n v="0"/>
    <x v="1"/>
    <x v="9"/>
    <x v="3"/>
    <x v="0"/>
    <x v="3"/>
  </r>
  <r>
    <x v="13"/>
    <x v="1"/>
    <s v="Travel_Rarely"/>
    <n v="629"/>
    <x v="1"/>
    <n v="27"/>
    <n v="2"/>
    <s v="Medical"/>
    <n v="1"/>
    <n v="247"/>
    <x v="2"/>
    <x v="0"/>
    <x v="41"/>
    <x v="0"/>
    <x v="1"/>
    <x v="1"/>
    <x v="1"/>
    <x v="0"/>
    <x v="177"/>
    <x v="180"/>
    <x v="7"/>
    <s v="Y"/>
    <s v="No"/>
    <x v="2"/>
    <x v="0"/>
    <n v="4"/>
    <x v="0"/>
    <n v="0"/>
    <x v="15"/>
    <n v="3"/>
    <x v="1"/>
    <x v="11"/>
    <x v="3"/>
    <x v="1"/>
    <x v="3"/>
  </r>
  <r>
    <x v="0"/>
    <x v="0"/>
    <s v="Travel_Rarely"/>
    <n v="1356"/>
    <x v="0"/>
    <n v="20"/>
    <n v="2"/>
    <s v="Marketing"/>
    <n v="1"/>
    <n v="248"/>
    <x v="0"/>
    <x v="0"/>
    <x v="49"/>
    <x v="0"/>
    <x v="1"/>
    <x v="6"/>
    <x v="1"/>
    <x v="0"/>
    <x v="178"/>
    <x v="181"/>
    <x v="1"/>
    <s v="Y"/>
    <s v="Yes"/>
    <x v="6"/>
    <x v="1"/>
    <n v="4"/>
    <x v="0"/>
    <n v="0"/>
    <x v="21"/>
    <n v="5"/>
    <x v="2"/>
    <x v="9"/>
    <x v="7"/>
    <x v="0"/>
    <x v="3"/>
  </r>
  <r>
    <x v="24"/>
    <x v="1"/>
    <s v="Travel_Rarely"/>
    <n v="328"/>
    <x v="1"/>
    <n v="1"/>
    <n v="3"/>
    <s v="Medical"/>
    <n v="1"/>
    <n v="249"/>
    <x v="1"/>
    <x v="1"/>
    <x v="27"/>
    <x v="1"/>
    <x v="1"/>
    <x v="2"/>
    <x v="2"/>
    <x v="1"/>
    <x v="179"/>
    <x v="182"/>
    <x v="7"/>
    <s v="Y"/>
    <s v="No"/>
    <x v="2"/>
    <x v="0"/>
    <n v="4"/>
    <x v="0"/>
    <n v="1"/>
    <x v="7"/>
    <n v="2"/>
    <x v="2"/>
    <x v="11"/>
    <x v="3"/>
    <x v="0"/>
    <x v="3"/>
  </r>
  <r>
    <x v="16"/>
    <x v="1"/>
    <s v="Travel_Rarely"/>
    <n v="1084"/>
    <x v="1"/>
    <n v="13"/>
    <n v="2"/>
    <s v="Medical"/>
    <n v="1"/>
    <n v="250"/>
    <x v="2"/>
    <x v="0"/>
    <x v="42"/>
    <x v="2"/>
    <x v="0"/>
    <x v="3"/>
    <x v="3"/>
    <x v="2"/>
    <x v="180"/>
    <x v="183"/>
    <x v="1"/>
    <s v="Y"/>
    <s v="No"/>
    <x v="0"/>
    <x v="0"/>
    <n v="3"/>
    <x v="0"/>
    <n v="2"/>
    <x v="7"/>
    <n v="3"/>
    <x v="1"/>
    <x v="9"/>
    <x v="3"/>
    <x v="1"/>
    <x v="6"/>
  </r>
  <r>
    <x v="3"/>
    <x v="1"/>
    <s v="Travel_Rarely"/>
    <n v="931"/>
    <x v="1"/>
    <n v="14"/>
    <n v="3"/>
    <s v="Medical"/>
    <n v="1"/>
    <n v="252"/>
    <x v="2"/>
    <x v="0"/>
    <x v="23"/>
    <x v="0"/>
    <x v="1"/>
    <x v="1"/>
    <x v="1"/>
    <x v="1"/>
    <x v="181"/>
    <x v="184"/>
    <x v="1"/>
    <s v="Y"/>
    <s v="No"/>
    <x v="4"/>
    <x v="0"/>
    <n v="4"/>
    <x v="0"/>
    <n v="1"/>
    <x v="0"/>
    <n v="5"/>
    <x v="1"/>
    <x v="3"/>
    <x v="1"/>
    <x v="1"/>
    <x v="4"/>
  </r>
  <r>
    <x v="32"/>
    <x v="1"/>
    <s v="Travel_Rarely"/>
    <n v="989"/>
    <x v="1"/>
    <n v="4"/>
    <n v="1"/>
    <s v="Medical"/>
    <n v="1"/>
    <n v="253"/>
    <x v="2"/>
    <x v="0"/>
    <x v="55"/>
    <x v="0"/>
    <x v="4"/>
    <x v="5"/>
    <x v="2"/>
    <x v="1"/>
    <x v="182"/>
    <x v="185"/>
    <x v="1"/>
    <s v="Y"/>
    <s v="No"/>
    <x v="9"/>
    <x v="0"/>
    <n v="2"/>
    <x v="0"/>
    <n v="1"/>
    <x v="24"/>
    <n v="2"/>
    <x v="1"/>
    <x v="23"/>
    <x v="6"/>
    <x v="10"/>
    <x v="12"/>
  </r>
  <r>
    <x v="27"/>
    <x v="1"/>
    <s v="Travel_Rarely"/>
    <n v="692"/>
    <x v="1"/>
    <n v="14"/>
    <n v="4"/>
    <s v="Medical"/>
    <n v="1"/>
    <n v="254"/>
    <x v="1"/>
    <x v="1"/>
    <x v="1"/>
    <x v="2"/>
    <x v="4"/>
    <x v="7"/>
    <x v="1"/>
    <x v="0"/>
    <x v="183"/>
    <x v="186"/>
    <x v="0"/>
    <s v="Y"/>
    <s v="No"/>
    <x v="0"/>
    <x v="0"/>
    <n v="4"/>
    <x v="0"/>
    <n v="0"/>
    <x v="34"/>
    <n v="3"/>
    <x v="1"/>
    <x v="25"/>
    <x v="11"/>
    <x v="3"/>
    <x v="14"/>
  </r>
  <r>
    <x v="13"/>
    <x v="1"/>
    <s v="Travel_Frequently"/>
    <n v="1069"/>
    <x v="1"/>
    <n v="2"/>
    <n v="1"/>
    <s v="Life Sciences"/>
    <n v="1"/>
    <n v="256"/>
    <x v="2"/>
    <x v="1"/>
    <x v="18"/>
    <x v="1"/>
    <x v="0"/>
    <x v="3"/>
    <x v="2"/>
    <x v="1"/>
    <x v="184"/>
    <x v="187"/>
    <x v="1"/>
    <s v="Y"/>
    <s v="No"/>
    <x v="8"/>
    <x v="0"/>
    <n v="3"/>
    <x v="0"/>
    <n v="0"/>
    <x v="1"/>
    <n v="2"/>
    <x v="2"/>
    <x v="1"/>
    <x v="5"/>
    <x v="1"/>
    <x v="12"/>
  </r>
  <r>
    <x v="31"/>
    <x v="1"/>
    <s v="Travel_Rarely"/>
    <n v="313"/>
    <x v="1"/>
    <n v="3"/>
    <n v="3"/>
    <s v="Medical"/>
    <n v="1"/>
    <n v="258"/>
    <x v="2"/>
    <x v="0"/>
    <x v="33"/>
    <x v="0"/>
    <x v="3"/>
    <x v="4"/>
    <x v="1"/>
    <x v="0"/>
    <x v="185"/>
    <x v="188"/>
    <x v="9"/>
    <s v="Y"/>
    <s v="No"/>
    <x v="11"/>
    <x v="0"/>
    <n v="3"/>
    <x v="0"/>
    <n v="0"/>
    <x v="24"/>
    <n v="6"/>
    <x v="1"/>
    <x v="5"/>
    <x v="1"/>
    <x v="1"/>
    <x v="2"/>
  </r>
  <r>
    <x v="39"/>
    <x v="1"/>
    <s v="Travel_Rarely"/>
    <n v="699"/>
    <x v="1"/>
    <n v="1"/>
    <n v="4"/>
    <s v="Life Sciences"/>
    <n v="1"/>
    <n v="259"/>
    <x v="1"/>
    <x v="1"/>
    <x v="63"/>
    <x v="1"/>
    <x v="4"/>
    <x v="5"/>
    <x v="2"/>
    <x v="1"/>
    <x v="186"/>
    <x v="189"/>
    <x v="4"/>
    <s v="Y"/>
    <s v="No"/>
    <x v="9"/>
    <x v="0"/>
    <n v="1"/>
    <x v="0"/>
    <n v="1"/>
    <x v="35"/>
    <n v="5"/>
    <x v="1"/>
    <x v="26"/>
    <x v="17"/>
    <x v="14"/>
    <x v="12"/>
  </r>
  <r>
    <x v="4"/>
    <x v="1"/>
    <s v="Travel_Rarely"/>
    <n v="894"/>
    <x v="1"/>
    <n v="9"/>
    <n v="3"/>
    <s v="Medical"/>
    <n v="1"/>
    <n v="260"/>
    <x v="2"/>
    <x v="0"/>
    <x v="39"/>
    <x v="0"/>
    <x v="1"/>
    <x v="1"/>
    <x v="1"/>
    <x v="0"/>
    <x v="187"/>
    <x v="190"/>
    <x v="1"/>
    <s v="Y"/>
    <s v="No"/>
    <x v="10"/>
    <x v="0"/>
    <n v="4"/>
    <x v="0"/>
    <n v="0"/>
    <x v="2"/>
    <n v="2"/>
    <x v="2"/>
    <x v="5"/>
    <x v="1"/>
    <x v="0"/>
    <x v="6"/>
  </r>
  <r>
    <x v="10"/>
    <x v="0"/>
    <s v="Travel_Rarely"/>
    <n v="556"/>
    <x v="1"/>
    <n v="23"/>
    <n v="2"/>
    <s v="Life Sciences"/>
    <n v="1"/>
    <n v="261"/>
    <x v="0"/>
    <x v="1"/>
    <x v="13"/>
    <x v="1"/>
    <x v="0"/>
    <x v="3"/>
    <x v="2"/>
    <x v="1"/>
    <x v="188"/>
    <x v="191"/>
    <x v="9"/>
    <s v="Y"/>
    <s v="Yes"/>
    <x v="4"/>
    <x v="0"/>
    <n v="1"/>
    <x v="0"/>
    <n v="0"/>
    <x v="0"/>
    <n v="1"/>
    <x v="1"/>
    <x v="6"/>
    <x v="2"/>
    <x v="0"/>
    <x v="9"/>
  </r>
  <r>
    <x v="23"/>
    <x v="1"/>
    <s v="Non-Travel"/>
    <n v="1344"/>
    <x v="1"/>
    <n v="7"/>
    <n v="3"/>
    <s v="Medical"/>
    <n v="1"/>
    <n v="262"/>
    <x v="2"/>
    <x v="1"/>
    <x v="31"/>
    <x v="2"/>
    <x v="1"/>
    <x v="1"/>
    <x v="0"/>
    <x v="2"/>
    <x v="189"/>
    <x v="192"/>
    <x v="5"/>
    <s v="Y"/>
    <s v="No"/>
    <x v="9"/>
    <x v="0"/>
    <n v="4"/>
    <x v="0"/>
    <n v="3"/>
    <x v="2"/>
    <n v="3"/>
    <x v="3"/>
    <x v="8"/>
    <x v="0"/>
    <x v="3"/>
    <x v="3"/>
  </r>
  <r>
    <x v="28"/>
    <x v="1"/>
    <s v="Non-Travel"/>
    <n v="1195"/>
    <x v="1"/>
    <n v="2"/>
    <n v="2"/>
    <s v="Medical"/>
    <n v="1"/>
    <n v="264"/>
    <x v="3"/>
    <x v="1"/>
    <x v="63"/>
    <x v="1"/>
    <x v="3"/>
    <x v="5"/>
    <x v="0"/>
    <x v="1"/>
    <x v="190"/>
    <x v="193"/>
    <x v="3"/>
    <s v="Y"/>
    <s v="No"/>
    <x v="1"/>
    <x v="1"/>
    <n v="4"/>
    <x v="0"/>
    <n v="1"/>
    <x v="14"/>
    <n v="1"/>
    <x v="1"/>
    <x v="23"/>
    <x v="6"/>
    <x v="14"/>
    <x v="5"/>
  </r>
  <r>
    <x v="2"/>
    <x v="1"/>
    <s v="Travel_Rarely"/>
    <n v="290"/>
    <x v="1"/>
    <n v="21"/>
    <n v="3"/>
    <s v="Life Sciences"/>
    <n v="1"/>
    <n v="267"/>
    <x v="0"/>
    <x v="1"/>
    <x v="63"/>
    <x v="2"/>
    <x v="1"/>
    <x v="1"/>
    <x v="3"/>
    <x v="1"/>
    <x v="191"/>
    <x v="194"/>
    <x v="1"/>
    <s v="Y"/>
    <s v="Yes"/>
    <x v="3"/>
    <x v="0"/>
    <n v="1"/>
    <x v="0"/>
    <n v="1"/>
    <x v="0"/>
    <n v="3"/>
    <x v="2"/>
    <x v="3"/>
    <x v="1"/>
    <x v="1"/>
    <x v="1"/>
  </r>
  <r>
    <x v="10"/>
    <x v="1"/>
    <s v="Travel_Frequently"/>
    <n v="138"/>
    <x v="1"/>
    <n v="2"/>
    <n v="3"/>
    <s v="Medical"/>
    <n v="1"/>
    <n v="269"/>
    <x v="0"/>
    <x v="0"/>
    <x v="31"/>
    <x v="0"/>
    <x v="0"/>
    <x v="2"/>
    <x v="1"/>
    <x v="0"/>
    <x v="192"/>
    <x v="195"/>
    <x v="6"/>
    <s v="Y"/>
    <s v="No"/>
    <x v="0"/>
    <x v="0"/>
    <n v="4"/>
    <x v="0"/>
    <n v="0"/>
    <x v="1"/>
    <n v="5"/>
    <x v="1"/>
    <x v="0"/>
    <x v="3"/>
    <x v="1"/>
    <x v="3"/>
  </r>
  <r>
    <x v="19"/>
    <x v="1"/>
    <s v="Non-Travel"/>
    <n v="926"/>
    <x v="1"/>
    <n v="21"/>
    <n v="2"/>
    <s v="Medical"/>
    <n v="1"/>
    <n v="270"/>
    <x v="1"/>
    <x v="0"/>
    <x v="34"/>
    <x v="0"/>
    <x v="0"/>
    <x v="3"/>
    <x v="2"/>
    <x v="2"/>
    <x v="193"/>
    <x v="196"/>
    <x v="7"/>
    <s v="Y"/>
    <s v="No"/>
    <x v="10"/>
    <x v="0"/>
    <n v="2"/>
    <x v="0"/>
    <n v="1"/>
    <x v="27"/>
    <n v="5"/>
    <x v="1"/>
    <x v="8"/>
    <x v="7"/>
    <x v="0"/>
    <x v="3"/>
  </r>
  <r>
    <x v="8"/>
    <x v="1"/>
    <s v="Travel_Rarely"/>
    <n v="1261"/>
    <x v="1"/>
    <n v="2"/>
    <n v="4"/>
    <s v="Life Sciences"/>
    <n v="1"/>
    <n v="271"/>
    <x v="2"/>
    <x v="1"/>
    <x v="64"/>
    <x v="0"/>
    <x v="0"/>
    <x v="3"/>
    <x v="2"/>
    <x v="1"/>
    <x v="194"/>
    <x v="197"/>
    <x v="3"/>
    <s v="Y"/>
    <s v="No"/>
    <x v="9"/>
    <x v="0"/>
    <n v="2"/>
    <x v="0"/>
    <n v="0"/>
    <x v="19"/>
    <n v="3"/>
    <x v="1"/>
    <x v="6"/>
    <x v="2"/>
    <x v="0"/>
    <x v="2"/>
  </r>
  <r>
    <x v="8"/>
    <x v="1"/>
    <s v="Travel_Rarely"/>
    <n v="1084"/>
    <x v="1"/>
    <n v="29"/>
    <n v="3"/>
    <s v="Technical Degree"/>
    <n v="1"/>
    <n v="273"/>
    <x v="2"/>
    <x v="1"/>
    <x v="60"/>
    <x v="0"/>
    <x v="0"/>
    <x v="3"/>
    <x v="0"/>
    <x v="1"/>
    <x v="195"/>
    <x v="198"/>
    <x v="9"/>
    <s v="Y"/>
    <s v="No"/>
    <x v="11"/>
    <x v="0"/>
    <n v="1"/>
    <x v="0"/>
    <n v="1"/>
    <x v="15"/>
    <n v="3"/>
    <x v="0"/>
    <x v="5"/>
    <x v="1"/>
    <x v="1"/>
    <x v="1"/>
  </r>
  <r>
    <x v="4"/>
    <x v="1"/>
    <s v="Travel_Frequently"/>
    <n v="472"/>
    <x v="1"/>
    <n v="1"/>
    <n v="1"/>
    <s v="Technical Degree"/>
    <n v="1"/>
    <n v="274"/>
    <x v="1"/>
    <x v="1"/>
    <x v="53"/>
    <x v="1"/>
    <x v="0"/>
    <x v="3"/>
    <x v="3"/>
    <x v="1"/>
    <x v="196"/>
    <x v="199"/>
    <x v="6"/>
    <s v="Y"/>
    <s v="No"/>
    <x v="12"/>
    <x v="0"/>
    <n v="3"/>
    <x v="0"/>
    <n v="1"/>
    <x v="3"/>
    <n v="1"/>
    <x v="1"/>
    <x v="4"/>
    <x v="3"/>
    <x v="3"/>
    <x v="2"/>
  </r>
  <r>
    <x v="1"/>
    <x v="1"/>
    <s v="Non-Travel"/>
    <n v="1002"/>
    <x v="1"/>
    <n v="18"/>
    <n v="4"/>
    <s v="Life Sciences"/>
    <n v="1"/>
    <n v="275"/>
    <x v="2"/>
    <x v="1"/>
    <x v="2"/>
    <x v="0"/>
    <x v="0"/>
    <x v="3"/>
    <x v="0"/>
    <x v="2"/>
    <x v="197"/>
    <x v="200"/>
    <x v="1"/>
    <s v="Y"/>
    <s v="Yes"/>
    <x v="2"/>
    <x v="0"/>
    <n v="1"/>
    <x v="0"/>
    <n v="2"/>
    <x v="2"/>
    <n v="0"/>
    <x v="1"/>
    <x v="5"/>
    <x v="1"/>
    <x v="1"/>
    <x v="1"/>
  </r>
  <r>
    <x v="13"/>
    <x v="1"/>
    <s v="Travel_Frequently"/>
    <n v="878"/>
    <x v="1"/>
    <n v="10"/>
    <n v="4"/>
    <s v="Medical"/>
    <n v="1"/>
    <n v="277"/>
    <x v="2"/>
    <x v="1"/>
    <x v="38"/>
    <x v="0"/>
    <x v="1"/>
    <x v="1"/>
    <x v="2"/>
    <x v="2"/>
    <x v="198"/>
    <x v="201"/>
    <x v="1"/>
    <s v="Y"/>
    <s v="Yes"/>
    <x v="8"/>
    <x v="0"/>
    <n v="4"/>
    <x v="0"/>
    <n v="1"/>
    <x v="7"/>
    <n v="4"/>
    <x v="3"/>
    <x v="8"/>
    <x v="7"/>
    <x v="3"/>
    <x v="2"/>
  </r>
  <r>
    <x v="32"/>
    <x v="1"/>
    <s v="Travel_Rarely"/>
    <n v="905"/>
    <x v="1"/>
    <n v="19"/>
    <n v="2"/>
    <s v="Medical"/>
    <n v="1"/>
    <n v="281"/>
    <x v="1"/>
    <x v="1"/>
    <x v="39"/>
    <x v="0"/>
    <x v="0"/>
    <x v="2"/>
    <x v="0"/>
    <x v="1"/>
    <x v="199"/>
    <x v="202"/>
    <x v="0"/>
    <s v="Y"/>
    <s v="Yes"/>
    <x v="2"/>
    <x v="0"/>
    <n v="3"/>
    <x v="0"/>
    <n v="1"/>
    <x v="20"/>
    <n v="2"/>
    <x v="3"/>
    <x v="5"/>
    <x v="3"/>
    <x v="2"/>
    <x v="1"/>
  </r>
  <r>
    <x v="8"/>
    <x v="0"/>
    <s v="Travel_Rarely"/>
    <n v="1180"/>
    <x v="1"/>
    <n v="29"/>
    <n v="1"/>
    <s v="Medical"/>
    <n v="1"/>
    <n v="282"/>
    <x v="0"/>
    <x v="1"/>
    <x v="49"/>
    <x v="0"/>
    <x v="0"/>
    <x v="4"/>
    <x v="3"/>
    <x v="1"/>
    <x v="200"/>
    <x v="203"/>
    <x v="8"/>
    <s v="Y"/>
    <s v="Yes"/>
    <x v="12"/>
    <x v="0"/>
    <n v="2"/>
    <x v="0"/>
    <n v="0"/>
    <x v="6"/>
    <n v="2"/>
    <x v="1"/>
    <x v="6"/>
    <x v="2"/>
    <x v="0"/>
    <x v="2"/>
  </r>
  <r>
    <x v="11"/>
    <x v="0"/>
    <s v="Travel_Rarely"/>
    <n v="121"/>
    <x v="0"/>
    <n v="27"/>
    <n v="3"/>
    <s v="Marketing"/>
    <n v="1"/>
    <n v="283"/>
    <x v="0"/>
    <x v="0"/>
    <x v="58"/>
    <x v="0"/>
    <x v="2"/>
    <x v="0"/>
    <x v="0"/>
    <x v="1"/>
    <x v="201"/>
    <x v="204"/>
    <x v="1"/>
    <s v="Y"/>
    <s v="No"/>
    <x v="6"/>
    <x v="1"/>
    <n v="4"/>
    <x v="0"/>
    <n v="3"/>
    <x v="1"/>
    <n v="3"/>
    <x v="2"/>
    <x v="1"/>
    <x v="0"/>
    <x v="1"/>
    <x v="12"/>
  </r>
  <r>
    <x v="15"/>
    <x v="1"/>
    <s v="Travel_Rarely"/>
    <n v="1136"/>
    <x v="1"/>
    <n v="5"/>
    <n v="3"/>
    <s v="Life Sciences"/>
    <n v="1"/>
    <n v="284"/>
    <x v="2"/>
    <x v="1"/>
    <x v="53"/>
    <x v="2"/>
    <x v="1"/>
    <x v="1"/>
    <x v="1"/>
    <x v="2"/>
    <x v="202"/>
    <x v="205"/>
    <x v="1"/>
    <s v="Y"/>
    <s v="Yes"/>
    <x v="10"/>
    <x v="0"/>
    <n v="1"/>
    <x v="0"/>
    <n v="1"/>
    <x v="21"/>
    <n v="2"/>
    <x v="2"/>
    <x v="9"/>
    <x v="3"/>
    <x v="3"/>
    <x v="3"/>
  </r>
  <r>
    <x v="9"/>
    <x v="1"/>
    <s v="Travel_Frequently"/>
    <n v="635"/>
    <x v="1"/>
    <n v="18"/>
    <n v="1"/>
    <s v="Medical"/>
    <n v="1"/>
    <n v="286"/>
    <x v="0"/>
    <x v="0"/>
    <x v="32"/>
    <x v="0"/>
    <x v="1"/>
    <x v="2"/>
    <x v="0"/>
    <x v="0"/>
    <x v="203"/>
    <x v="206"/>
    <x v="1"/>
    <s v="Y"/>
    <s v="No"/>
    <x v="4"/>
    <x v="0"/>
    <n v="1"/>
    <x v="0"/>
    <n v="0"/>
    <x v="0"/>
    <n v="2"/>
    <x v="1"/>
    <x v="3"/>
    <x v="10"/>
    <x v="1"/>
    <x v="1"/>
  </r>
  <r>
    <x v="32"/>
    <x v="1"/>
    <s v="Non-Travel"/>
    <n v="1151"/>
    <x v="1"/>
    <n v="9"/>
    <n v="5"/>
    <s v="Life Sciences"/>
    <n v="1"/>
    <n v="287"/>
    <x v="2"/>
    <x v="1"/>
    <x v="52"/>
    <x v="1"/>
    <x v="0"/>
    <x v="4"/>
    <x v="0"/>
    <x v="1"/>
    <x v="204"/>
    <x v="207"/>
    <x v="3"/>
    <s v="Y"/>
    <s v="No"/>
    <x v="9"/>
    <x v="0"/>
    <n v="4"/>
    <x v="0"/>
    <n v="1"/>
    <x v="7"/>
    <n v="5"/>
    <x v="0"/>
    <x v="11"/>
    <x v="3"/>
    <x v="0"/>
    <x v="3"/>
  </r>
  <r>
    <x v="21"/>
    <x v="1"/>
    <s v="Travel_Rarely"/>
    <n v="644"/>
    <x v="1"/>
    <n v="1"/>
    <n v="4"/>
    <s v="Medical"/>
    <n v="1"/>
    <n v="288"/>
    <x v="2"/>
    <x v="1"/>
    <x v="28"/>
    <x v="0"/>
    <x v="2"/>
    <x v="4"/>
    <x v="3"/>
    <x v="2"/>
    <x v="205"/>
    <x v="208"/>
    <x v="8"/>
    <s v="Y"/>
    <s v="No"/>
    <x v="10"/>
    <x v="0"/>
    <n v="3"/>
    <x v="0"/>
    <n v="1"/>
    <x v="6"/>
    <n v="3"/>
    <x v="1"/>
    <x v="9"/>
    <x v="3"/>
    <x v="0"/>
    <x v="6"/>
  </r>
  <r>
    <x v="5"/>
    <x v="0"/>
    <s v="Travel_Rarely"/>
    <n v="1045"/>
    <x v="0"/>
    <n v="4"/>
    <n v="4"/>
    <s v="Medical"/>
    <n v="1"/>
    <n v="291"/>
    <x v="2"/>
    <x v="1"/>
    <x v="47"/>
    <x v="3"/>
    <x v="2"/>
    <x v="0"/>
    <x v="0"/>
    <x v="1"/>
    <x v="206"/>
    <x v="209"/>
    <x v="1"/>
    <s v="Y"/>
    <s v="No"/>
    <x v="0"/>
    <x v="0"/>
    <n v="3"/>
    <x v="0"/>
    <n v="0"/>
    <x v="19"/>
    <n v="2"/>
    <x v="2"/>
    <x v="13"/>
    <x v="6"/>
    <x v="10"/>
    <x v="5"/>
  </r>
  <r>
    <x v="7"/>
    <x v="1"/>
    <s v="Non-Travel"/>
    <n v="829"/>
    <x v="1"/>
    <n v="1"/>
    <n v="1"/>
    <s v="Life Sciences"/>
    <n v="1"/>
    <n v="292"/>
    <x v="1"/>
    <x v="1"/>
    <x v="64"/>
    <x v="1"/>
    <x v="2"/>
    <x v="3"/>
    <x v="2"/>
    <x v="0"/>
    <x v="207"/>
    <x v="210"/>
    <x v="1"/>
    <s v="Y"/>
    <s v="No"/>
    <x v="6"/>
    <x v="1"/>
    <n v="3"/>
    <x v="0"/>
    <n v="0"/>
    <x v="4"/>
    <n v="2"/>
    <x v="1"/>
    <x v="19"/>
    <x v="6"/>
    <x v="8"/>
    <x v="5"/>
  </r>
  <r>
    <x v="4"/>
    <x v="1"/>
    <s v="Travel_Frequently"/>
    <n v="1242"/>
    <x v="0"/>
    <n v="20"/>
    <n v="3"/>
    <s v="Life Sciences"/>
    <n v="1"/>
    <n v="293"/>
    <x v="2"/>
    <x v="0"/>
    <x v="62"/>
    <x v="0"/>
    <x v="0"/>
    <x v="0"/>
    <x v="2"/>
    <x v="0"/>
    <x v="208"/>
    <x v="211"/>
    <x v="1"/>
    <s v="Y"/>
    <s v="No"/>
    <x v="9"/>
    <x v="0"/>
    <n v="4"/>
    <x v="0"/>
    <n v="0"/>
    <x v="2"/>
    <n v="2"/>
    <x v="1"/>
    <x v="5"/>
    <x v="1"/>
    <x v="0"/>
    <x v="1"/>
  </r>
  <r>
    <x v="31"/>
    <x v="1"/>
    <s v="Travel_Rarely"/>
    <n v="1469"/>
    <x v="1"/>
    <n v="8"/>
    <n v="4"/>
    <s v="Life Sciences"/>
    <n v="1"/>
    <n v="296"/>
    <x v="0"/>
    <x v="1"/>
    <x v="6"/>
    <x v="1"/>
    <x v="2"/>
    <x v="7"/>
    <x v="1"/>
    <x v="1"/>
    <x v="209"/>
    <x v="212"/>
    <x v="6"/>
    <s v="Y"/>
    <s v="No"/>
    <x v="10"/>
    <x v="0"/>
    <n v="4"/>
    <x v="0"/>
    <n v="2"/>
    <x v="28"/>
    <n v="5"/>
    <x v="0"/>
    <x v="1"/>
    <x v="5"/>
    <x v="5"/>
    <x v="1"/>
  </r>
  <r>
    <x v="7"/>
    <x v="0"/>
    <s v="Travel_Rarely"/>
    <n v="1005"/>
    <x v="1"/>
    <n v="3"/>
    <n v="3"/>
    <s v="Technical Degree"/>
    <n v="1"/>
    <n v="297"/>
    <x v="2"/>
    <x v="0"/>
    <x v="64"/>
    <x v="0"/>
    <x v="1"/>
    <x v="1"/>
    <x v="3"/>
    <x v="0"/>
    <x v="210"/>
    <x v="213"/>
    <x v="6"/>
    <s v="Y"/>
    <s v="Yes"/>
    <x v="0"/>
    <x v="0"/>
    <n v="3"/>
    <x v="0"/>
    <n v="0"/>
    <x v="0"/>
    <n v="5"/>
    <x v="1"/>
    <x v="8"/>
    <x v="3"/>
    <x v="0"/>
    <x v="10"/>
  </r>
  <r>
    <x v="0"/>
    <x v="1"/>
    <s v="Travel_Rarely"/>
    <n v="896"/>
    <x v="0"/>
    <n v="6"/>
    <n v="3"/>
    <s v="Life Sciences"/>
    <n v="1"/>
    <n v="298"/>
    <x v="2"/>
    <x v="0"/>
    <x v="29"/>
    <x v="0"/>
    <x v="2"/>
    <x v="5"/>
    <x v="0"/>
    <x v="0"/>
    <x v="211"/>
    <x v="214"/>
    <x v="9"/>
    <s v="Y"/>
    <s v="Yes"/>
    <x v="11"/>
    <x v="0"/>
    <n v="3"/>
    <x v="0"/>
    <n v="0"/>
    <x v="28"/>
    <n v="3"/>
    <x v="1"/>
    <x v="6"/>
    <x v="2"/>
    <x v="0"/>
    <x v="2"/>
  </r>
  <r>
    <x v="7"/>
    <x v="0"/>
    <s v="Travel_Frequently"/>
    <n v="334"/>
    <x v="0"/>
    <n v="26"/>
    <n v="4"/>
    <s v="Marketing"/>
    <n v="1"/>
    <n v="299"/>
    <x v="1"/>
    <x v="0"/>
    <x v="48"/>
    <x v="1"/>
    <x v="0"/>
    <x v="0"/>
    <x v="3"/>
    <x v="0"/>
    <x v="212"/>
    <x v="215"/>
    <x v="6"/>
    <s v="Y"/>
    <s v="No"/>
    <x v="2"/>
    <x v="0"/>
    <n v="3"/>
    <x v="0"/>
    <n v="0"/>
    <x v="15"/>
    <n v="5"/>
    <x v="2"/>
    <x v="0"/>
    <x v="7"/>
    <x v="0"/>
    <x v="9"/>
  </r>
  <r>
    <x v="11"/>
    <x v="0"/>
    <s v="Travel_Rarely"/>
    <n v="992"/>
    <x v="1"/>
    <n v="1"/>
    <n v="3"/>
    <s v="Technical Degree"/>
    <n v="1"/>
    <n v="300"/>
    <x v="1"/>
    <x v="1"/>
    <x v="65"/>
    <x v="0"/>
    <x v="1"/>
    <x v="1"/>
    <x v="2"/>
    <x v="0"/>
    <x v="213"/>
    <x v="216"/>
    <x v="4"/>
    <s v="Y"/>
    <s v="No"/>
    <x v="9"/>
    <x v="0"/>
    <n v="4"/>
    <x v="0"/>
    <n v="0"/>
    <x v="2"/>
    <n v="1"/>
    <x v="2"/>
    <x v="0"/>
    <x v="3"/>
    <x v="1"/>
    <x v="0"/>
  </r>
  <r>
    <x v="28"/>
    <x v="1"/>
    <s v="Non-Travel"/>
    <n v="1052"/>
    <x v="0"/>
    <n v="6"/>
    <n v="3"/>
    <s v="Medical"/>
    <n v="1"/>
    <n v="302"/>
    <x v="2"/>
    <x v="0"/>
    <x v="42"/>
    <x v="1"/>
    <x v="2"/>
    <x v="0"/>
    <x v="0"/>
    <x v="0"/>
    <x v="214"/>
    <x v="217"/>
    <x v="2"/>
    <s v="Y"/>
    <s v="No"/>
    <x v="3"/>
    <x v="0"/>
    <n v="4"/>
    <x v="0"/>
    <n v="0"/>
    <x v="18"/>
    <n v="2"/>
    <x v="1"/>
    <x v="27"/>
    <x v="1"/>
    <x v="12"/>
    <x v="5"/>
  </r>
  <r>
    <x v="33"/>
    <x v="1"/>
    <s v="Travel_Rarely"/>
    <n v="1147"/>
    <x v="0"/>
    <n v="3"/>
    <n v="3"/>
    <s v="Marketing"/>
    <n v="1"/>
    <n v="303"/>
    <x v="2"/>
    <x v="0"/>
    <x v="48"/>
    <x v="0"/>
    <x v="0"/>
    <x v="0"/>
    <x v="3"/>
    <x v="1"/>
    <x v="215"/>
    <x v="218"/>
    <x v="7"/>
    <s v="Y"/>
    <s v="No"/>
    <x v="9"/>
    <x v="0"/>
    <n v="4"/>
    <x v="0"/>
    <n v="1"/>
    <x v="28"/>
    <n v="4"/>
    <x v="1"/>
    <x v="0"/>
    <x v="3"/>
    <x v="0"/>
    <x v="0"/>
  </r>
  <r>
    <x v="9"/>
    <x v="1"/>
    <s v="Travel_Rarely"/>
    <n v="1396"/>
    <x v="1"/>
    <n v="5"/>
    <n v="2"/>
    <s v="Life Sciences"/>
    <n v="1"/>
    <n v="304"/>
    <x v="2"/>
    <x v="1"/>
    <x v="50"/>
    <x v="0"/>
    <x v="0"/>
    <x v="2"/>
    <x v="1"/>
    <x v="0"/>
    <x v="216"/>
    <x v="219"/>
    <x v="0"/>
    <s v="Y"/>
    <s v="No"/>
    <x v="10"/>
    <x v="0"/>
    <n v="4"/>
    <x v="0"/>
    <n v="0"/>
    <x v="28"/>
    <n v="3"/>
    <x v="3"/>
    <x v="20"/>
    <x v="14"/>
    <x v="2"/>
    <x v="1"/>
  </r>
  <r>
    <x v="3"/>
    <x v="1"/>
    <s v="Travel_Rarely"/>
    <n v="147"/>
    <x v="1"/>
    <n v="4"/>
    <n v="4"/>
    <s v="Medical"/>
    <n v="1"/>
    <n v="305"/>
    <x v="1"/>
    <x v="0"/>
    <x v="35"/>
    <x v="1"/>
    <x v="1"/>
    <x v="1"/>
    <x v="1"/>
    <x v="1"/>
    <x v="217"/>
    <x v="220"/>
    <x v="2"/>
    <s v="Y"/>
    <s v="No"/>
    <x v="7"/>
    <x v="1"/>
    <n v="4"/>
    <x v="0"/>
    <n v="0"/>
    <x v="2"/>
    <n v="3"/>
    <x v="1"/>
    <x v="11"/>
    <x v="3"/>
    <x v="1"/>
    <x v="9"/>
  </r>
  <r>
    <x v="2"/>
    <x v="1"/>
    <s v="Travel_Frequently"/>
    <n v="663"/>
    <x v="1"/>
    <n v="11"/>
    <n v="3"/>
    <s v="Other"/>
    <n v="1"/>
    <n v="306"/>
    <x v="0"/>
    <x v="1"/>
    <x v="35"/>
    <x v="0"/>
    <x v="2"/>
    <x v="7"/>
    <x v="0"/>
    <x v="2"/>
    <x v="218"/>
    <x v="221"/>
    <x v="1"/>
    <s v="Y"/>
    <s v="Yes"/>
    <x v="9"/>
    <x v="0"/>
    <n v="3"/>
    <x v="0"/>
    <n v="3"/>
    <x v="1"/>
    <n v="1"/>
    <x v="1"/>
    <x v="1"/>
    <x v="6"/>
    <x v="0"/>
    <x v="1"/>
  </r>
  <r>
    <x v="8"/>
    <x v="1"/>
    <s v="Travel_Rarely"/>
    <n v="119"/>
    <x v="0"/>
    <n v="3"/>
    <n v="3"/>
    <s v="Life Sciences"/>
    <n v="1"/>
    <n v="307"/>
    <x v="3"/>
    <x v="1"/>
    <x v="43"/>
    <x v="0"/>
    <x v="2"/>
    <x v="0"/>
    <x v="2"/>
    <x v="2"/>
    <x v="219"/>
    <x v="222"/>
    <x v="4"/>
    <s v="Y"/>
    <s v="No"/>
    <x v="3"/>
    <x v="0"/>
    <n v="3"/>
    <x v="0"/>
    <n v="2"/>
    <x v="6"/>
    <n v="6"/>
    <x v="2"/>
    <x v="22"/>
    <x v="15"/>
    <x v="8"/>
    <x v="15"/>
  </r>
  <r>
    <x v="12"/>
    <x v="1"/>
    <s v="Non-Travel"/>
    <n v="979"/>
    <x v="1"/>
    <n v="1"/>
    <n v="4"/>
    <s v="Medical"/>
    <n v="1"/>
    <n v="308"/>
    <x v="1"/>
    <x v="1"/>
    <x v="62"/>
    <x v="3"/>
    <x v="0"/>
    <x v="3"/>
    <x v="2"/>
    <x v="1"/>
    <x v="220"/>
    <x v="223"/>
    <x v="4"/>
    <s v="Y"/>
    <s v="No"/>
    <x v="3"/>
    <x v="0"/>
    <n v="4"/>
    <x v="0"/>
    <n v="1"/>
    <x v="3"/>
    <n v="2"/>
    <x v="1"/>
    <x v="8"/>
    <x v="0"/>
    <x v="1"/>
    <x v="10"/>
  </r>
  <r>
    <x v="6"/>
    <x v="1"/>
    <s v="Travel_Rarely"/>
    <n v="142"/>
    <x v="1"/>
    <n v="3"/>
    <n v="3"/>
    <s v="Life Sciences"/>
    <n v="1"/>
    <n v="309"/>
    <x v="1"/>
    <x v="1"/>
    <x v="49"/>
    <x v="1"/>
    <x v="1"/>
    <x v="1"/>
    <x v="0"/>
    <x v="1"/>
    <x v="221"/>
    <x v="224"/>
    <x v="9"/>
    <s v="Y"/>
    <s v="No"/>
    <x v="8"/>
    <x v="0"/>
    <n v="1"/>
    <x v="0"/>
    <n v="1"/>
    <x v="2"/>
    <n v="6"/>
    <x v="1"/>
    <x v="6"/>
    <x v="2"/>
    <x v="0"/>
    <x v="2"/>
  </r>
  <r>
    <x v="2"/>
    <x v="1"/>
    <s v="Travel_Frequently"/>
    <n v="319"/>
    <x v="0"/>
    <n v="4"/>
    <n v="4"/>
    <s v="Marketing"/>
    <n v="1"/>
    <n v="311"/>
    <x v="3"/>
    <x v="1"/>
    <x v="26"/>
    <x v="0"/>
    <x v="1"/>
    <x v="6"/>
    <x v="0"/>
    <x v="2"/>
    <x v="222"/>
    <x v="225"/>
    <x v="5"/>
    <s v="Y"/>
    <s v="No"/>
    <x v="8"/>
    <x v="0"/>
    <n v="3"/>
    <x v="0"/>
    <n v="1"/>
    <x v="10"/>
    <n v="2"/>
    <x v="1"/>
    <x v="7"/>
    <x v="6"/>
    <x v="8"/>
    <x v="5"/>
  </r>
  <r>
    <x v="11"/>
    <x v="1"/>
    <s v="Travel_Frequently"/>
    <n v="1413"/>
    <x v="0"/>
    <n v="1"/>
    <n v="1"/>
    <s v="Medical"/>
    <n v="1"/>
    <n v="312"/>
    <x v="0"/>
    <x v="0"/>
    <x v="25"/>
    <x v="0"/>
    <x v="2"/>
    <x v="0"/>
    <x v="0"/>
    <x v="1"/>
    <x v="223"/>
    <x v="226"/>
    <x v="1"/>
    <s v="Y"/>
    <s v="No"/>
    <x v="9"/>
    <x v="0"/>
    <n v="4"/>
    <x v="0"/>
    <n v="1"/>
    <x v="27"/>
    <n v="5"/>
    <x v="1"/>
    <x v="19"/>
    <x v="15"/>
    <x v="5"/>
    <x v="9"/>
  </r>
  <r>
    <x v="10"/>
    <x v="1"/>
    <s v="Travel_Frequently"/>
    <n v="944"/>
    <x v="0"/>
    <n v="1"/>
    <n v="3"/>
    <s v="Marketing"/>
    <n v="1"/>
    <n v="314"/>
    <x v="1"/>
    <x v="0"/>
    <x v="2"/>
    <x v="0"/>
    <x v="2"/>
    <x v="0"/>
    <x v="2"/>
    <x v="0"/>
    <x v="224"/>
    <x v="227"/>
    <x v="1"/>
    <s v="Y"/>
    <s v="No"/>
    <x v="9"/>
    <x v="0"/>
    <n v="1"/>
    <x v="0"/>
    <n v="0"/>
    <x v="1"/>
    <n v="3"/>
    <x v="3"/>
    <x v="1"/>
    <x v="1"/>
    <x v="0"/>
    <x v="5"/>
  </r>
  <r>
    <x v="11"/>
    <x v="0"/>
    <s v="Travel_Rarely"/>
    <n v="896"/>
    <x v="1"/>
    <n v="18"/>
    <n v="1"/>
    <s v="Medical"/>
    <n v="1"/>
    <n v="315"/>
    <x v="1"/>
    <x v="1"/>
    <x v="27"/>
    <x v="1"/>
    <x v="1"/>
    <x v="1"/>
    <x v="0"/>
    <x v="0"/>
    <x v="225"/>
    <x v="228"/>
    <x v="1"/>
    <s v="Y"/>
    <s v="Yes"/>
    <x v="4"/>
    <x v="0"/>
    <n v="3"/>
    <x v="0"/>
    <n v="0"/>
    <x v="21"/>
    <n v="3"/>
    <x v="2"/>
    <x v="9"/>
    <x v="7"/>
    <x v="0"/>
    <x v="9"/>
  </r>
  <r>
    <x v="39"/>
    <x v="1"/>
    <s v="Travel_Rarely"/>
    <n v="1323"/>
    <x v="1"/>
    <n v="2"/>
    <n v="3"/>
    <s v="Life Sciences"/>
    <n v="1"/>
    <n v="316"/>
    <x v="1"/>
    <x v="0"/>
    <x v="66"/>
    <x v="1"/>
    <x v="1"/>
    <x v="2"/>
    <x v="0"/>
    <x v="0"/>
    <x v="226"/>
    <x v="229"/>
    <x v="8"/>
    <s v="Y"/>
    <s v="No"/>
    <x v="2"/>
    <x v="0"/>
    <n v="2"/>
    <x v="0"/>
    <n v="0"/>
    <x v="3"/>
    <n v="3"/>
    <x v="2"/>
    <x v="4"/>
    <x v="3"/>
    <x v="3"/>
    <x v="3"/>
  </r>
  <r>
    <x v="19"/>
    <x v="1"/>
    <s v="Travel_Rarely"/>
    <n v="532"/>
    <x v="1"/>
    <n v="4"/>
    <n v="2"/>
    <s v="Technical Degree"/>
    <n v="1"/>
    <n v="319"/>
    <x v="1"/>
    <x v="1"/>
    <x v="22"/>
    <x v="0"/>
    <x v="4"/>
    <x v="5"/>
    <x v="0"/>
    <x v="1"/>
    <x v="227"/>
    <x v="230"/>
    <x v="1"/>
    <s v="Y"/>
    <s v="No"/>
    <x v="0"/>
    <x v="0"/>
    <n v="4"/>
    <x v="0"/>
    <n v="0"/>
    <x v="14"/>
    <n v="3"/>
    <x v="1"/>
    <x v="14"/>
    <x v="18"/>
    <x v="14"/>
    <x v="14"/>
  </r>
  <r>
    <x v="6"/>
    <x v="1"/>
    <s v="Travel_Rarely"/>
    <n v="818"/>
    <x v="2"/>
    <n v="6"/>
    <n v="2"/>
    <s v="Medical"/>
    <n v="1"/>
    <n v="321"/>
    <x v="0"/>
    <x v="1"/>
    <x v="48"/>
    <x v="0"/>
    <x v="1"/>
    <x v="8"/>
    <x v="2"/>
    <x v="1"/>
    <x v="228"/>
    <x v="231"/>
    <x v="0"/>
    <s v="Y"/>
    <s v="No"/>
    <x v="8"/>
    <x v="0"/>
    <n v="4"/>
    <x v="0"/>
    <n v="0"/>
    <x v="2"/>
    <n v="2"/>
    <x v="2"/>
    <x v="4"/>
    <x v="3"/>
    <x v="3"/>
    <x v="3"/>
  </r>
  <r>
    <x v="24"/>
    <x v="1"/>
    <s v="Travel_Rarely"/>
    <n v="854"/>
    <x v="0"/>
    <n v="1"/>
    <n v="4"/>
    <s v="Medical"/>
    <n v="1"/>
    <n v="323"/>
    <x v="2"/>
    <x v="0"/>
    <x v="67"/>
    <x v="0"/>
    <x v="4"/>
    <x v="5"/>
    <x v="0"/>
    <x v="2"/>
    <x v="229"/>
    <x v="232"/>
    <x v="9"/>
    <s v="Y"/>
    <s v="No"/>
    <x v="0"/>
    <x v="0"/>
    <n v="3"/>
    <x v="0"/>
    <n v="1"/>
    <x v="36"/>
    <n v="3"/>
    <x v="2"/>
    <x v="5"/>
    <x v="2"/>
    <x v="0"/>
    <x v="4"/>
  </r>
  <r>
    <x v="3"/>
    <x v="0"/>
    <s v="Travel_Rarely"/>
    <n v="813"/>
    <x v="1"/>
    <n v="14"/>
    <n v="3"/>
    <s v="Medical"/>
    <n v="1"/>
    <n v="325"/>
    <x v="1"/>
    <x v="1"/>
    <x v="22"/>
    <x v="0"/>
    <x v="1"/>
    <x v="2"/>
    <x v="0"/>
    <x v="1"/>
    <x v="230"/>
    <x v="233"/>
    <x v="6"/>
    <s v="Y"/>
    <s v="Yes"/>
    <x v="4"/>
    <x v="0"/>
    <n v="3"/>
    <x v="0"/>
    <n v="1"/>
    <x v="0"/>
    <n v="2"/>
    <x v="0"/>
    <x v="8"/>
    <x v="0"/>
    <x v="0"/>
    <x v="10"/>
  </r>
  <r>
    <x v="23"/>
    <x v="1"/>
    <s v="Travel_Rarely"/>
    <n v="1034"/>
    <x v="0"/>
    <n v="16"/>
    <n v="3"/>
    <s v="Marketing"/>
    <n v="1"/>
    <n v="327"/>
    <x v="2"/>
    <x v="0"/>
    <x v="15"/>
    <x v="0"/>
    <x v="3"/>
    <x v="5"/>
    <x v="0"/>
    <x v="1"/>
    <x v="231"/>
    <x v="234"/>
    <x v="6"/>
    <s v="Y"/>
    <s v="Yes"/>
    <x v="6"/>
    <x v="1"/>
    <n v="3"/>
    <x v="0"/>
    <n v="1"/>
    <x v="14"/>
    <n v="3"/>
    <x v="1"/>
    <x v="18"/>
    <x v="9"/>
    <x v="1"/>
    <x v="12"/>
  </r>
  <r>
    <x v="3"/>
    <x v="0"/>
    <s v="Travel_Rarely"/>
    <n v="465"/>
    <x v="1"/>
    <n v="2"/>
    <n v="2"/>
    <s v="Life Sciences"/>
    <n v="1"/>
    <n v="328"/>
    <x v="3"/>
    <x v="0"/>
    <x v="56"/>
    <x v="0"/>
    <x v="1"/>
    <x v="2"/>
    <x v="3"/>
    <x v="1"/>
    <x v="232"/>
    <x v="235"/>
    <x v="8"/>
    <s v="Y"/>
    <s v="No"/>
    <x v="5"/>
    <x v="1"/>
    <n v="1"/>
    <x v="0"/>
    <n v="0"/>
    <x v="10"/>
    <n v="3"/>
    <x v="3"/>
    <x v="7"/>
    <x v="1"/>
    <x v="1"/>
    <x v="1"/>
  </r>
  <r>
    <x v="39"/>
    <x v="1"/>
    <s v="Non-Travel"/>
    <n v="771"/>
    <x v="0"/>
    <n v="2"/>
    <n v="4"/>
    <s v="Life Sciences"/>
    <n v="1"/>
    <n v="329"/>
    <x v="3"/>
    <x v="1"/>
    <x v="5"/>
    <x v="1"/>
    <x v="4"/>
    <x v="5"/>
    <x v="2"/>
    <x v="0"/>
    <x v="233"/>
    <x v="236"/>
    <x v="1"/>
    <s v="Y"/>
    <s v="Yes"/>
    <x v="11"/>
    <x v="0"/>
    <n v="4"/>
    <x v="0"/>
    <n v="0"/>
    <x v="37"/>
    <n v="2"/>
    <x v="3"/>
    <x v="26"/>
    <x v="1"/>
    <x v="9"/>
    <x v="11"/>
  </r>
  <r>
    <x v="5"/>
    <x v="1"/>
    <s v="Travel_Rarely"/>
    <n v="1401"/>
    <x v="0"/>
    <n v="4"/>
    <n v="2"/>
    <s v="Life Sciences"/>
    <n v="1"/>
    <n v="330"/>
    <x v="1"/>
    <x v="0"/>
    <x v="3"/>
    <x v="0"/>
    <x v="1"/>
    <x v="6"/>
    <x v="1"/>
    <x v="1"/>
    <x v="234"/>
    <x v="237"/>
    <x v="7"/>
    <s v="Y"/>
    <s v="No"/>
    <x v="0"/>
    <x v="0"/>
    <n v="1"/>
    <x v="0"/>
    <n v="1"/>
    <x v="3"/>
    <n v="5"/>
    <x v="1"/>
    <x v="9"/>
    <x v="7"/>
    <x v="1"/>
    <x v="3"/>
  </r>
  <r>
    <x v="5"/>
    <x v="0"/>
    <s v="Travel_Rarely"/>
    <n v="515"/>
    <x v="1"/>
    <n v="1"/>
    <n v="3"/>
    <s v="Life Sciences"/>
    <n v="1"/>
    <n v="331"/>
    <x v="2"/>
    <x v="1"/>
    <x v="50"/>
    <x v="1"/>
    <x v="1"/>
    <x v="2"/>
    <x v="2"/>
    <x v="0"/>
    <x v="235"/>
    <x v="238"/>
    <x v="4"/>
    <s v="Y"/>
    <s v="Yes"/>
    <x v="9"/>
    <x v="0"/>
    <n v="4"/>
    <x v="0"/>
    <n v="0"/>
    <x v="21"/>
    <n v="2"/>
    <x v="0"/>
    <x v="11"/>
    <x v="3"/>
    <x v="1"/>
    <x v="3"/>
  </r>
  <r>
    <x v="22"/>
    <x v="1"/>
    <s v="Travel_Rarely"/>
    <n v="1431"/>
    <x v="1"/>
    <n v="1"/>
    <n v="4"/>
    <s v="Medical"/>
    <n v="1"/>
    <n v="332"/>
    <x v="1"/>
    <x v="0"/>
    <x v="16"/>
    <x v="0"/>
    <x v="1"/>
    <x v="2"/>
    <x v="2"/>
    <x v="2"/>
    <x v="236"/>
    <x v="239"/>
    <x v="8"/>
    <s v="Y"/>
    <s v="No"/>
    <x v="9"/>
    <x v="0"/>
    <n v="3"/>
    <x v="0"/>
    <n v="3"/>
    <x v="2"/>
    <n v="1"/>
    <x v="1"/>
    <x v="11"/>
    <x v="3"/>
    <x v="1"/>
    <x v="3"/>
  </r>
  <r>
    <x v="5"/>
    <x v="1"/>
    <s v="Non-Travel"/>
    <n v="976"/>
    <x v="0"/>
    <n v="26"/>
    <n v="4"/>
    <s v="Marketing"/>
    <n v="1"/>
    <n v="333"/>
    <x v="1"/>
    <x v="1"/>
    <x v="54"/>
    <x v="0"/>
    <x v="0"/>
    <x v="0"/>
    <x v="0"/>
    <x v="1"/>
    <x v="237"/>
    <x v="240"/>
    <x v="4"/>
    <s v="Y"/>
    <s v="No"/>
    <x v="11"/>
    <x v="0"/>
    <n v="1"/>
    <x v="0"/>
    <n v="0"/>
    <x v="21"/>
    <n v="2"/>
    <x v="1"/>
    <x v="11"/>
    <x v="3"/>
    <x v="3"/>
    <x v="3"/>
  </r>
  <r>
    <x v="0"/>
    <x v="1"/>
    <s v="Travel_Rarely"/>
    <n v="1411"/>
    <x v="1"/>
    <n v="19"/>
    <n v="2"/>
    <s v="Life Sciences"/>
    <n v="1"/>
    <n v="334"/>
    <x v="1"/>
    <x v="1"/>
    <x v="34"/>
    <x v="0"/>
    <x v="0"/>
    <x v="1"/>
    <x v="3"/>
    <x v="2"/>
    <x v="169"/>
    <x v="241"/>
    <x v="7"/>
    <s v="Y"/>
    <s v="No"/>
    <x v="10"/>
    <x v="0"/>
    <n v="1"/>
    <x v="0"/>
    <n v="2"/>
    <x v="6"/>
    <n v="2"/>
    <x v="2"/>
    <x v="6"/>
    <x v="2"/>
    <x v="0"/>
    <x v="2"/>
  </r>
  <r>
    <x v="32"/>
    <x v="1"/>
    <s v="Travel_Rarely"/>
    <n v="1300"/>
    <x v="1"/>
    <n v="24"/>
    <n v="2"/>
    <s v="Technical Degree"/>
    <n v="1"/>
    <n v="335"/>
    <x v="3"/>
    <x v="1"/>
    <x v="50"/>
    <x v="0"/>
    <x v="0"/>
    <x v="1"/>
    <x v="0"/>
    <x v="2"/>
    <x v="238"/>
    <x v="242"/>
    <x v="1"/>
    <s v="Y"/>
    <s v="No"/>
    <x v="8"/>
    <x v="0"/>
    <n v="1"/>
    <x v="0"/>
    <n v="2"/>
    <x v="15"/>
    <n v="3"/>
    <x v="1"/>
    <x v="7"/>
    <x v="6"/>
    <x v="5"/>
    <x v="1"/>
  </r>
  <r>
    <x v="28"/>
    <x v="1"/>
    <s v="Travel_Rarely"/>
    <n v="252"/>
    <x v="1"/>
    <n v="1"/>
    <n v="3"/>
    <s v="Other"/>
    <n v="1"/>
    <n v="336"/>
    <x v="1"/>
    <x v="1"/>
    <x v="49"/>
    <x v="2"/>
    <x v="4"/>
    <x v="5"/>
    <x v="0"/>
    <x v="1"/>
    <x v="239"/>
    <x v="243"/>
    <x v="4"/>
    <s v="Y"/>
    <s v="No"/>
    <x v="0"/>
    <x v="0"/>
    <n v="3"/>
    <x v="0"/>
    <n v="1"/>
    <x v="25"/>
    <n v="2"/>
    <x v="1"/>
    <x v="25"/>
    <x v="2"/>
    <x v="1"/>
    <x v="1"/>
  </r>
  <r>
    <x v="12"/>
    <x v="1"/>
    <s v="Travel_Frequently"/>
    <n v="1327"/>
    <x v="1"/>
    <n v="3"/>
    <n v="4"/>
    <s v="Medical"/>
    <n v="1"/>
    <n v="337"/>
    <x v="0"/>
    <x v="1"/>
    <x v="32"/>
    <x v="0"/>
    <x v="2"/>
    <x v="7"/>
    <x v="2"/>
    <x v="2"/>
    <x v="240"/>
    <x v="244"/>
    <x v="3"/>
    <s v="Y"/>
    <s v="No"/>
    <x v="3"/>
    <x v="0"/>
    <n v="1"/>
    <x v="0"/>
    <n v="1"/>
    <x v="15"/>
    <n v="3"/>
    <x v="1"/>
    <x v="4"/>
    <x v="3"/>
    <x v="3"/>
    <x v="3"/>
  </r>
  <r>
    <x v="3"/>
    <x v="1"/>
    <s v="Travel_Rarely"/>
    <n v="832"/>
    <x v="1"/>
    <n v="5"/>
    <n v="4"/>
    <s v="Life Sciences"/>
    <n v="1"/>
    <n v="338"/>
    <x v="1"/>
    <x v="0"/>
    <x v="52"/>
    <x v="1"/>
    <x v="1"/>
    <x v="1"/>
    <x v="0"/>
    <x v="1"/>
    <x v="12"/>
    <x v="245"/>
    <x v="1"/>
    <s v="Y"/>
    <s v="No"/>
    <x v="4"/>
    <x v="0"/>
    <n v="3"/>
    <x v="0"/>
    <n v="1"/>
    <x v="17"/>
    <n v="2"/>
    <x v="2"/>
    <x v="4"/>
    <x v="3"/>
    <x v="0"/>
    <x v="3"/>
  </r>
  <r>
    <x v="13"/>
    <x v="1"/>
    <s v="Travel_Rarely"/>
    <n v="470"/>
    <x v="1"/>
    <n v="2"/>
    <n v="4"/>
    <s v="Life Sciences"/>
    <n v="1"/>
    <n v="339"/>
    <x v="2"/>
    <x v="1"/>
    <x v="9"/>
    <x v="1"/>
    <x v="0"/>
    <x v="3"/>
    <x v="3"/>
    <x v="1"/>
    <x v="241"/>
    <x v="246"/>
    <x v="2"/>
    <s v="Y"/>
    <s v="No"/>
    <x v="4"/>
    <x v="0"/>
    <n v="2"/>
    <x v="0"/>
    <n v="1"/>
    <x v="10"/>
    <n v="3"/>
    <x v="1"/>
    <x v="19"/>
    <x v="5"/>
    <x v="8"/>
    <x v="12"/>
  </r>
  <r>
    <x v="2"/>
    <x v="1"/>
    <s v="Travel_Rarely"/>
    <n v="1017"/>
    <x v="1"/>
    <n v="1"/>
    <n v="2"/>
    <s v="Medical"/>
    <n v="1"/>
    <n v="340"/>
    <x v="1"/>
    <x v="0"/>
    <x v="21"/>
    <x v="1"/>
    <x v="1"/>
    <x v="1"/>
    <x v="3"/>
    <x v="1"/>
    <x v="242"/>
    <x v="247"/>
    <x v="7"/>
    <s v="Y"/>
    <s v="No"/>
    <x v="9"/>
    <x v="0"/>
    <n v="1"/>
    <x v="0"/>
    <n v="1"/>
    <x v="6"/>
    <n v="2"/>
    <x v="2"/>
    <x v="11"/>
    <x v="10"/>
    <x v="0"/>
    <x v="3"/>
  </r>
  <r>
    <x v="28"/>
    <x v="1"/>
    <s v="Travel_Frequently"/>
    <n v="1199"/>
    <x v="1"/>
    <n v="7"/>
    <n v="4"/>
    <s v="Life Sciences"/>
    <n v="1"/>
    <n v="341"/>
    <x v="3"/>
    <x v="1"/>
    <x v="57"/>
    <x v="2"/>
    <x v="0"/>
    <x v="3"/>
    <x v="2"/>
    <x v="1"/>
    <x v="243"/>
    <x v="248"/>
    <x v="5"/>
    <s v="Y"/>
    <s v="No"/>
    <x v="8"/>
    <x v="0"/>
    <n v="4"/>
    <x v="0"/>
    <n v="1"/>
    <x v="15"/>
    <n v="1"/>
    <x v="1"/>
    <x v="11"/>
    <x v="3"/>
    <x v="0"/>
    <x v="3"/>
  </r>
  <r>
    <x v="2"/>
    <x v="0"/>
    <s v="Travel_Frequently"/>
    <n v="504"/>
    <x v="1"/>
    <n v="10"/>
    <n v="3"/>
    <s v="Medical"/>
    <n v="1"/>
    <n v="342"/>
    <x v="3"/>
    <x v="1"/>
    <x v="1"/>
    <x v="0"/>
    <x v="2"/>
    <x v="3"/>
    <x v="2"/>
    <x v="2"/>
    <x v="244"/>
    <x v="249"/>
    <x v="2"/>
    <s v="Y"/>
    <s v="No"/>
    <x v="0"/>
    <x v="0"/>
    <n v="2"/>
    <x v="0"/>
    <n v="2"/>
    <x v="6"/>
    <n v="5"/>
    <x v="1"/>
    <x v="6"/>
    <x v="2"/>
    <x v="0"/>
    <x v="2"/>
  </r>
  <r>
    <x v="22"/>
    <x v="1"/>
    <s v="Travel_Frequently"/>
    <n v="505"/>
    <x v="1"/>
    <n v="2"/>
    <n v="4"/>
    <s v="Technical Degree"/>
    <n v="1"/>
    <n v="343"/>
    <x v="1"/>
    <x v="0"/>
    <x v="51"/>
    <x v="0"/>
    <x v="2"/>
    <x v="4"/>
    <x v="2"/>
    <x v="0"/>
    <x v="245"/>
    <x v="250"/>
    <x v="4"/>
    <s v="Y"/>
    <s v="No"/>
    <x v="14"/>
    <x v="1"/>
    <n v="4"/>
    <x v="0"/>
    <n v="0"/>
    <x v="26"/>
    <n v="1"/>
    <x v="1"/>
    <x v="27"/>
    <x v="8"/>
    <x v="14"/>
    <x v="5"/>
  </r>
  <r>
    <x v="11"/>
    <x v="1"/>
    <s v="Travel_Rarely"/>
    <n v="665"/>
    <x v="1"/>
    <n v="15"/>
    <n v="3"/>
    <s v="Life Sciences"/>
    <n v="1"/>
    <n v="346"/>
    <x v="1"/>
    <x v="1"/>
    <x v="53"/>
    <x v="0"/>
    <x v="1"/>
    <x v="1"/>
    <x v="0"/>
    <x v="0"/>
    <x v="246"/>
    <x v="251"/>
    <x v="1"/>
    <s v="Y"/>
    <s v="No"/>
    <x v="12"/>
    <x v="0"/>
    <n v="1"/>
    <x v="0"/>
    <n v="0"/>
    <x v="3"/>
    <n v="1"/>
    <x v="1"/>
    <x v="0"/>
    <x v="4"/>
    <x v="1"/>
    <x v="0"/>
  </r>
  <r>
    <x v="19"/>
    <x v="1"/>
    <s v="Travel_Rarely"/>
    <n v="916"/>
    <x v="1"/>
    <n v="17"/>
    <n v="2"/>
    <s v="Life Sciences"/>
    <n v="1"/>
    <n v="347"/>
    <x v="2"/>
    <x v="0"/>
    <x v="19"/>
    <x v="2"/>
    <x v="0"/>
    <x v="1"/>
    <x v="3"/>
    <x v="0"/>
    <x v="247"/>
    <x v="76"/>
    <x v="9"/>
    <s v="Y"/>
    <s v="Yes"/>
    <x v="4"/>
    <x v="0"/>
    <n v="3"/>
    <x v="0"/>
    <n v="0"/>
    <x v="1"/>
    <n v="1"/>
    <x v="1"/>
    <x v="11"/>
    <x v="3"/>
    <x v="0"/>
    <x v="3"/>
  </r>
  <r>
    <x v="11"/>
    <x v="1"/>
    <s v="Travel_Rarely"/>
    <n v="1247"/>
    <x v="0"/>
    <n v="20"/>
    <n v="2"/>
    <s v="Marketing"/>
    <n v="1"/>
    <n v="349"/>
    <x v="2"/>
    <x v="1"/>
    <x v="18"/>
    <x v="0"/>
    <x v="0"/>
    <x v="0"/>
    <x v="0"/>
    <x v="2"/>
    <x v="248"/>
    <x v="252"/>
    <x v="7"/>
    <s v="Y"/>
    <s v="No"/>
    <x v="9"/>
    <x v="0"/>
    <n v="4"/>
    <x v="0"/>
    <n v="1"/>
    <x v="1"/>
    <n v="2"/>
    <x v="1"/>
    <x v="11"/>
    <x v="3"/>
    <x v="0"/>
    <x v="3"/>
  </r>
  <r>
    <x v="36"/>
    <x v="1"/>
    <s v="Travel_Rarely"/>
    <n v="685"/>
    <x v="1"/>
    <n v="1"/>
    <n v="3"/>
    <s v="Life Sciences"/>
    <n v="1"/>
    <n v="350"/>
    <x v="3"/>
    <x v="0"/>
    <x v="50"/>
    <x v="0"/>
    <x v="0"/>
    <x v="3"/>
    <x v="2"/>
    <x v="1"/>
    <x v="249"/>
    <x v="253"/>
    <x v="4"/>
    <s v="Y"/>
    <s v="No"/>
    <x v="3"/>
    <x v="0"/>
    <n v="4"/>
    <x v="0"/>
    <n v="2"/>
    <x v="7"/>
    <n v="3"/>
    <x v="1"/>
    <x v="9"/>
    <x v="3"/>
    <x v="1"/>
    <x v="3"/>
  </r>
  <r>
    <x v="19"/>
    <x v="1"/>
    <s v="Travel_Rarely"/>
    <n v="269"/>
    <x v="1"/>
    <n v="2"/>
    <n v="3"/>
    <s v="Medical"/>
    <n v="1"/>
    <n v="351"/>
    <x v="2"/>
    <x v="0"/>
    <x v="3"/>
    <x v="1"/>
    <x v="1"/>
    <x v="2"/>
    <x v="3"/>
    <x v="2"/>
    <x v="250"/>
    <x v="254"/>
    <x v="4"/>
    <s v="Y"/>
    <s v="Yes"/>
    <x v="0"/>
    <x v="0"/>
    <n v="3"/>
    <x v="0"/>
    <n v="1"/>
    <x v="1"/>
    <n v="4"/>
    <x v="1"/>
    <x v="7"/>
    <x v="8"/>
    <x v="4"/>
    <x v="5"/>
  </r>
  <r>
    <x v="32"/>
    <x v="1"/>
    <s v="Travel_Rarely"/>
    <n v="1416"/>
    <x v="1"/>
    <n v="2"/>
    <n v="2"/>
    <s v="Medical"/>
    <n v="1"/>
    <n v="352"/>
    <x v="3"/>
    <x v="1"/>
    <x v="10"/>
    <x v="0"/>
    <x v="4"/>
    <x v="7"/>
    <x v="2"/>
    <x v="2"/>
    <x v="251"/>
    <x v="255"/>
    <x v="4"/>
    <s v="Y"/>
    <s v="No"/>
    <x v="12"/>
    <x v="0"/>
    <n v="4"/>
    <x v="0"/>
    <n v="1"/>
    <x v="14"/>
    <n v="5"/>
    <x v="1"/>
    <x v="17"/>
    <x v="1"/>
    <x v="2"/>
    <x v="12"/>
  </r>
  <r>
    <x v="31"/>
    <x v="1"/>
    <s v="Travel_Rarely"/>
    <n v="833"/>
    <x v="1"/>
    <n v="1"/>
    <n v="3"/>
    <s v="Life Sciences"/>
    <n v="1"/>
    <n v="353"/>
    <x v="1"/>
    <x v="1"/>
    <x v="16"/>
    <x v="0"/>
    <x v="1"/>
    <x v="1"/>
    <x v="0"/>
    <x v="1"/>
    <x v="252"/>
    <x v="256"/>
    <x v="1"/>
    <s v="Y"/>
    <s v="No"/>
    <x v="0"/>
    <x v="0"/>
    <n v="2"/>
    <x v="0"/>
    <n v="0"/>
    <x v="5"/>
    <n v="0"/>
    <x v="2"/>
    <x v="6"/>
    <x v="2"/>
    <x v="0"/>
    <x v="2"/>
  </r>
  <r>
    <x v="12"/>
    <x v="0"/>
    <s v="Travel_Frequently"/>
    <n v="307"/>
    <x v="1"/>
    <n v="29"/>
    <n v="2"/>
    <s v="Medical"/>
    <n v="1"/>
    <n v="355"/>
    <x v="1"/>
    <x v="1"/>
    <x v="36"/>
    <x v="1"/>
    <x v="1"/>
    <x v="2"/>
    <x v="1"/>
    <x v="0"/>
    <x v="253"/>
    <x v="257"/>
    <x v="4"/>
    <s v="Y"/>
    <s v="No"/>
    <x v="0"/>
    <x v="0"/>
    <n v="2"/>
    <x v="0"/>
    <n v="0"/>
    <x v="3"/>
    <n v="2"/>
    <x v="3"/>
    <x v="8"/>
    <x v="0"/>
    <x v="1"/>
    <x v="10"/>
  </r>
  <r>
    <x v="5"/>
    <x v="1"/>
    <s v="Travel_Frequently"/>
    <n v="1311"/>
    <x v="1"/>
    <n v="7"/>
    <n v="3"/>
    <s v="Life Sciences"/>
    <n v="1"/>
    <n v="359"/>
    <x v="0"/>
    <x v="1"/>
    <x v="54"/>
    <x v="2"/>
    <x v="1"/>
    <x v="2"/>
    <x v="1"/>
    <x v="1"/>
    <x v="254"/>
    <x v="258"/>
    <x v="1"/>
    <s v="Y"/>
    <s v="No"/>
    <x v="5"/>
    <x v="1"/>
    <n v="3"/>
    <x v="0"/>
    <n v="0"/>
    <x v="7"/>
    <n v="3"/>
    <x v="0"/>
    <x v="8"/>
    <x v="10"/>
    <x v="0"/>
    <x v="6"/>
  </r>
  <r>
    <x v="8"/>
    <x v="1"/>
    <s v="Non-Travel"/>
    <n v="1327"/>
    <x v="0"/>
    <n v="2"/>
    <n v="2"/>
    <s v="Life Sciences"/>
    <n v="1"/>
    <n v="361"/>
    <x v="2"/>
    <x v="1"/>
    <x v="56"/>
    <x v="1"/>
    <x v="0"/>
    <x v="0"/>
    <x v="0"/>
    <x v="1"/>
    <x v="255"/>
    <x v="259"/>
    <x v="9"/>
    <s v="Y"/>
    <s v="No"/>
    <x v="11"/>
    <x v="0"/>
    <n v="4"/>
    <x v="0"/>
    <n v="1"/>
    <x v="10"/>
    <n v="0"/>
    <x v="1"/>
    <x v="3"/>
    <x v="1"/>
    <x v="4"/>
    <x v="0"/>
  </r>
  <r>
    <x v="5"/>
    <x v="1"/>
    <s v="Travel_Rarely"/>
    <n v="128"/>
    <x v="1"/>
    <n v="2"/>
    <n v="1"/>
    <s v="Technical Degree"/>
    <n v="1"/>
    <n v="362"/>
    <x v="2"/>
    <x v="1"/>
    <x v="9"/>
    <x v="1"/>
    <x v="0"/>
    <x v="2"/>
    <x v="3"/>
    <x v="0"/>
    <x v="256"/>
    <x v="260"/>
    <x v="5"/>
    <s v="Y"/>
    <s v="No"/>
    <x v="4"/>
    <x v="0"/>
    <n v="4"/>
    <x v="0"/>
    <n v="0"/>
    <x v="15"/>
    <n v="5"/>
    <x v="1"/>
    <x v="0"/>
    <x v="3"/>
    <x v="0"/>
    <x v="10"/>
  </r>
  <r>
    <x v="21"/>
    <x v="1"/>
    <s v="Travel_Rarely"/>
    <n v="488"/>
    <x v="0"/>
    <n v="2"/>
    <n v="3"/>
    <s v="Technical Degree"/>
    <n v="1"/>
    <n v="363"/>
    <x v="1"/>
    <x v="0"/>
    <x v="29"/>
    <x v="3"/>
    <x v="3"/>
    <x v="5"/>
    <x v="1"/>
    <x v="1"/>
    <x v="257"/>
    <x v="261"/>
    <x v="9"/>
    <s v="Y"/>
    <s v="Yes"/>
    <x v="3"/>
    <x v="0"/>
    <n v="2"/>
    <x v="0"/>
    <n v="1"/>
    <x v="23"/>
    <n v="2"/>
    <x v="2"/>
    <x v="5"/>
    <x v="1"/>
    <x v="4"/>
    <x v="1"/>
  </r>
  <r>
    <x v="14"/>
    <x v="0"/>
    <s v="Travel_Rarely"/>
    <n v="529"/>
    <x v="1"/>
    <n v="2"/>
    <n v="4"/>
    <s v="Life Sciences"/>
    <n v="1"/>
    <n v="364"/>
    <x v="3"/>
    <x v="1"/>
    <x v="5"/>
    <x v="0"/>
    <x v="1"/>
    <x v="2"/>
    <x v="2"/>
    <x v="0"/>
    <x v="258"/>
    <x v="262"/>
    <x v="7"/>
    <s v="Y"/>
    <s v="No"/>
    <x v="0"/>
    <x v="0"/>
    <n v="3"/>
    <x v="0"/>
    <n v="0"/>
    <x v="7"/>
    <n v="5"/>
    <x v="0"/>
    <x v="2"/>
    <x v="2"/>
    <x v="0"/>
    <x v="2"/>
  </r>
  <r>
    <x v="11"/>
    <x v="1"/>
    <s v="Travel_Rarely"/>
    <n v="1210"/>
    <x v="0"/>
    <n v="2"/>
    <n v="3"/>
    <s v="Medical"/>
    <n v="1"/>
    <n v="366"/>
    <x v="3"/>
    <x v="1"/>
    <x v="17"/>
    <x v="1"/>
    <x v="0"/>
    <x v="0"/>
    <x v="1"/>
    <x v="1"/>
    <x v="259"/>
    <x v="263"/>
    <x v="7"/>
    <s v="Y"/>
    <s v="No"/>
    <x v="12"/>
    <x v="0"/>
    <n v="2"/>
    <x v="0"/>
    <n v="2"/>
    <x v="1"/>
    <n v="2"/>
    <x v="1"/>
    <x v="2"/>
    <x v="2"/>
    <x v="0"/>
    <x v="2"/>
  </r>
  <r>
    <x v="12"/>
    <x v="1"/>
    <s v="Travel_Rarely"/>
    <n v="1463"/>
    <x v="1"/>
    <n v="23"/>
    <n v="3"/>
    <s v="Medical"/>
    <n v="1"/>
    <n v="367"/>
    <x v="0"/>
    <x v="1"/>
    <x v="51"/>
    <x v="1"/>
    <x v="0"/>
    <x v="4"/>
    <x v="0"/>
    <x v="1"/>
    <x v="260"/>
    <x v="264"/>
    <x v="4"/>
    <s v="Y"/>
    <s v="No"/>
    <x v="7"/>
    <x v="1"/>
    <n v="2"/>
    <x v="0"/>
    <n v="1"/>
    <x v="1"/>
    <n v="2"/>
    <x v="1"/>
    <x v="7"/>
    <x v="2"/>
    <x v="4"/>
    <x v="5"/>
  </r>
  <r>
    <x v="36"/>
    <x v="1"/>
    <s v="Non-Travel"/>
    <n v="675"/>
    <x v="1"/>
    <n v="5"/>
    <n v="2"/>
    <s v="Life Sciences"/>
    <n v="1"/>
    <n v="369"/>
    <x v="0"/>
    <x v="1"/>
    <x v="65"/>
    <x v="2"/>
    <x v="0"/>
    <x v="4"/>
    <x v="3"/>
    <x v="2"/>
    <x v="261"/>
    <x v="265"/>
    <x v="1"/>
    <s v="Y"/>
    <s v="No"/>
    <x v="3"/>
    <x v="0"/>
    <n v="4"/>
    <x v="0"/>
    <n v="2"/>
    <x v="3"/>
    <n v="2"/>
    <x v="1"/>
    <x v="0"/>
    <x v="7"/>
    <x v="1"/>
    <x v="0"/>
  </r>
  <r>
    <x v="28"/>
    <x v="1"/>
    <s v="Travel_Rarely"/>
    <n v="1385"/>
    <x v="1"/>
    <n v="20"/>
    <n v="2"/>
    <s v="Medical"/>
    <n v="1"/>
    <n v="372"/>
    <x v="1"/>
    <x v="1"/>
    <x v="5"/>
    <x v="0"/>
    <x v="3"/>
    <x v="4"/>
    <x v="0"/>
    <x v="1"/>
    <x v="262"/>
    <x v="266"/>
    <x v="4"/>
    <s v="Y"/>
    <s v="Yes"/>
    <x v="9"/>
    <x v="0"/>
    <n v="2"/>
    <x v="0"/>
    <n v="0"/>
    <x v="24"/>
    <n v="2"/>
    <x v="1"/>
    <x v="23"/>
    <x v="1"/>
    <x v="5"/>
    <x v="13"/>
  </r>
  <r>
    <x v="9"/>
    <x v="1"/>
    <s v="Travel_Rarely"/>
    <n v="1403"/>
    <x v="1"/>
    <n v="6"/>
    <n v="3"/>
    <s v="Life Sciences"/>
    <n v="1"/>
    <n v="373"/>
    <x v="2"/>
    <x v="1"/>
    <x v="35"/>
    <x v="0"/>
    <x v="1"/>
    <x v="2"/>
    <x v="0"/>
    <x v="1"/>
    <x v="263"/>
    <x v="267"/>
    <x v="4"/>
    <s v="Y"/>
    <s v="No"/>
    <x v="0"/>
    <x v="0"/>
    <n v="3"/>
    <x v="0"/>
    <n v="1"/>
    <x v="28"/>
    <n v="4"/>
    <x v="1"/>
    <x v="15"/>
    <x v="9"/>
    <x v="13"/>
    <x v="7"/>
  </r>
  <r>
    <x v="27"/>
    <x v="1"/>
    <s v="Travel_Rarely"/>
    <n v="452"/>
    <x v="1"/>
    <n v="1"/>
    <n v="3"/>
    <s v="Medical"/>
    <n v="1"/>
    <n v="374"/>
    <x v="2"/>
    <x v="1"/>
    <x v="6"/>
    <x v="0"/>
    <x v="4"/>
    <x v="5"/>
    <x v="3"/>
    <x v="0"/>
    <x v="264"/>
    <x v="268"/>
    <x v="4"/>
    <s v="Y"/>
    <s v="Yes"/>
    <x v="9"/>
    <x v="0"/>
    <n v="3"/>
    <x v="0"/>
    <n v="0"/>
    <x v="29"/>
    <n v="2"/>
    <x v="1"/>
    <x v="28"/>
    <x v="15"/>
    <x v="5"/>
    <x v="15"/>
  </r>
  <r>
    <x v="40"/>
    <x v="0"/>
    <s v="Non-Travel"/>
    <n v="666"/>
    <x v="1"/>
    <n v="29"/>
    <n v="4"/>
    <s v="Life Sciences"/>
    <n v="1"/>
    <n v="376"/>
    <x v="3"/>
    <x v="1"/>
    <x v="64"/>
    <x v="0"/>
    <x v="2"/>
    <x v="5"/>
    <x v="1"/>
    <x v="1"/>
    <x v="265"/>
    <x v="269"/>
    <x v="1"/>
    <s v="Y"/>
    <s v="Yes"/>
    <x v="3"/>
    <x v="0"/>
    <n v="4"/>
    <x v="0"/>
    <n v="1"/>
    <x v="1"/>
    <n v="2"/>
    <x v="2"/>
    <x v="1"/>
    <x v="1"/>
    <x v="10"/>
    <x v="12"/>
  </r>
  <r>
    <x v="14"/>
    <x v="1"/>
    <s v="Travel_Rarely"/>
    <n v="1158"/>
    <x v="1"/>
    <n v="9"/>
    <n v="3"/>
    <s v="Medical"/>
    <n v="1"/>
    <n v="377"/>
    <x v="2"/>
    <x v="1"/>
    <x v="0"/>
    <x v="0"/>
    <x v="1"/>
    <x v="1"/>
    <x v="0"/>
    <x v="1"/>
    <x v="266"/>
    <x v="270"/>
    <x v="1"/>
    <s v="Y"/>
    <s v="No"/>
    <x v="1"/>
    <x v="1"/>
    <n v="4"/>
    <x v="0"/>
    <n v="1"/>
    <x v="7"/>
    <n v="3"/>
    <x v="2"/>
    <x v="8"/>
    <x v="3"/>
    <x v="0"/>
    <x v="10"/>
  </r>
  <r>
    <x v="2"/>
    <x v="1"/>
    <s v="Travel_Rarely"/>
    <n v="228"/>
    <x v="0"/>
    <n v="6"/>
    <n v="4"/>
    <s v="Medical"/>
    <n v="1"/>
    <n v="378"/>
    <x v="1"/>
    <x v="1"/>
    <x v="33"/>
    <x v="0"/>
    <x v="0"/>
    <x v="0"/>
    <x v="0"/>
    <x v="1"/>
    <x v="267"/>
    <x v="271"/>
    <x v="5"/>
    <s v="Y"/>
    <s v="No"/>
    <x v="9"/>
    <x v="0"/>
    <n v="2"/>
    <x v="0"/>
    <n v="1"/>
    <x v="2"/>
    <n v="5"/>
    <x v="3"/>
    <x v="8"/>
    <x v="0"/>
    <x v="0"/>
    <x v="9"/>
  </r>
  <r>
    <x v="18"/>
    <x v="1"/>
    <s v="Travel_Rarely"/>
    <n v="996"/>
    <x v="1"/>
    <n v="3"/>
    <n v="2"/>
    <s v="Medical"/>
    <n v="1"/>
    <n v="379"/>
    <x v="2"/>
    <x v="1"/>
    <x v="54"/>
    <x v="1"/>
    <x v="1"/>
    <x v="1"/>
    <x v="2"/>
    <x v="0"/>
    <x v="268"/>
    <x v="272"/>
    <x v="1"/>
    <s v="Y"/>
    <s v="No"/>
    <x v="8"/>
    <x v="0"/>
    <n v="1"/>
    <x v="0"/>
    <n v="0"/>
    <x v="8"/>
    <n v="4"/>
    <x v="3"/>
    <x v="11"/>
    <x v="3"/>
    <x v="1"/>
    <x v="2"/>
  </r>
  <r>
    <x v="2"/>
    <x v="1"/>
    <s v="Non-Travel"/>
    <n v="728"/>
    <x v="1"/>
    <n v="1"/>
    <n v="4"/>
    <s v="Medical"/>
    <n v="1"/>
    <n v="380"/>
    <x v="3"/>
    <x v="0"/>
    <x v="15"/>
    <x v="0"/>
    <x v="2"/>
    <x v="7"/>
    <x v="0"/>
    <x v="2"/>
    <x v="269"/>
    <x v="273"/>
    <x v="7"/>
    <s v="Y"/>
    <s v="Yes"/>
    <x v="11"/>
    <x v="0"/>
    <n v="1"/>
    <x v="0"/>
    <n v="2"/>
    <x v="20"/>
    <n v="2"/>
    <x v="1"/>
    <x v="8"/>
    <x v="3"/>
    <x v="0"/>
    <x v="3"/>
  </r>
  <r>
    <x v="10"/>
    <x v="1"/>
    <s v="Travel_Rarely"/>
    <n v="1315"/>
    <x v="1"/>
    <n v="22"/>
    <n v="3"/>
    <s v="Life Sciences"/>
    <n v="1"/>
    <n v="381"/>
    <x v="0"/>
    <x v="0"/>
    <x v="36"/>
    <x v="2"/>
    <x v="2"/>
    <x v="5"/>
    <x v="1"/>
    <x v="2"/>
    <x v="270"/>
    <x v="274"/>
    <x v="8"/>
    <s v="Y"/>
    <s v="No"/>
    <x v="11"/>
    <x v="0"/>
    <n v="2"/>
    <x v="0"/>
    <n v="1"/>
    <x v="1"/>
    <n v="6"/>
    <x v="2"/>
    <x v="5"/>
    <x v="1"/>
    <x v="7"/>
    <x v="3"/>
  </r>
  <r>
    <x v="8"/>
    <x v="1"/>
    <s v="Travel_Rarely"/>
    <n v="322"/>
    <x v="0"/>
    <n v="7"/>
    <n v="2"/>
    <s v="Medical"/>
    <n v="1"/>
    <n v="382"/>
    <x v="3"/>
    <x v="0"/>
    <x v="8"/>
    <x v="2"/>
    <x v="0"/>
    <x v="0"/>
    <x v="3"/>
    <x v="2"/>
    <x v="147"/>
    <x v="275"/>
    <x v="1"/>
    <s v="Y"/>
    <s v="Yes"/>
    <x v="13"/>
    <x v="1"/>
    <n v="3"/>
    <x v="0"/>
    <n v="1"/>
    <x v="0"/>
    <n v="3"/>
    <x v="1"/>
    <x v="3"/>
    <x v="2"/>
    <x v="4"/>
    <x v="1"/>
  </r>
  <r>
    <x v="25"/>
    <x v="1"/>
    <s v="Travel_Frequently"/>
    <n v="1479"/>
    <x v="1"/>
    <n v="1"/>
    <n v="3"/>
    <s v="Life Sciences"/>
    <n v="1"/>
    <n v="384"/>
    <x v="1"/>
    <x v="0"/>
    <x v="9"/>
    <x v="0"/>
    <x v="0"/>
    <x v="3"/>
    <x v="1"/>
    <x v="2"/>
    <x v="271"/>
    <x v="276"/>
    <x v="1"/>
    <s v="Y"/>
    <s v="No"/>
    <x v="5"/>
    <x v="1"/>
    <n v="1"/>
    <x v="0"/>
    <n v="1"/>
    <x v="3"/>
    <n v="6"/>
    <x v="0"/>
    <x v="0"/>
    <x v="4"/>
    <x v="1"/>
    <x v="10"/>
  </r>
  <r>
    <x v="24"/>
    <x v="1"/>
    <s v="Travel_Rarely"/>
    <n v="797"/>
    <x v="1"/>
    <n v="4"/>
    <n v="1"/>
    <s v="Life Sciences"/>
    <n v="1"/>
    <n v="385"/>
    <x v="3"/>
    <x v="1"/>
    <x v="16"/>
    <x v="0"/>
    <x v="4"/>
    <x v="7"/>
    <x v="1"/>
    <x v="2"/>
    <x v="272"/>
    <x v="277"/>
    <x v="9"/>
    <s v="Y"/>
    <s v="No"/>
    <x v="9"/>
    <x v="0"/>
    <n v="1"/>
    <x v="0"/>
    <n v="2"/>
    <x v="23"/>
    <n v="4"/>
    <x v="2"/>
    <x v="1"/>
    <x v="0"/>
    <x v="1"/>
    <x v="4"/>
  </r>
  <r>
    <x v="16"/>
    <x v="1"/>
    <s v="Travel_Rarely"/>
    <n v="1070"/>
    <x v="1"/>
    <n v="3"/>
    <n v="4"/>
    <s v="Medical"/>
    <n v="1"/>
    <n v="386"/>
    <x v="1"/>
    <x v="1"/>
    <x v="18"/>
    <x v="0"/>
    <x v="3"/>
    <x v="7"/>
    <x v="2"/>
    <x v="1"/>
    <x v="273"/>
    <x v="278"/>
    <x v="9"/>
    <s v="Y"/>
    <s v="Yes"/>
    <x v="10"/>
    <x v="0"/>
    <n v="4"/>
    <x v="0"/>
    <n v="3"/>
    <x v="24"/>
    <n v="5"/>
    <x v="2"/>
    <x v="8"/>
    <x v="7"/>
    <x v="1"/>
    <x v="6"/>
  </r>
  <r>
    <x v="19"/>
    <x v="1"/>
    <s v="Travel_Rarely"/>
    <n v="635"/>
    <x v="0"/>
    <n v="1"/>
    <n v="1"/>
    <s v="Life Sciences"/>
    <n v="1"/>
    <n v="387"/>
    <x v="0"/>
    <x v="1"/>
    <x v="39"/>
    <x v="0"/>
    <x v="0"/>
    <x v="0"/>
    <x v="2"/>
    <x v="1"/>
    <x v="274"/>
    <x v="279"/>
    <x v="1"/>
    <s v="Y"/>
    <s v="No"/>
    <x v="14"/>
    <x v="1"/>
    <n v="3"/>
    <x v="0"/>
    <n v="0"/>
    <x v="26"/>
    <n v="3"/>
    <x v="1"/>
    <x v="23"/>
    <x v="13"/>
    <x v="14"/>
    <x v="4"/>
  </r>
  <r>
    <x v="11"/>
    <x v="1"/>
    <s v="Travel_Frequently"/>
    <n v="442"/>
    <x v="0"/>
    <n v="2"/>
    <n v="2"/>
    <s v="Life Sciences"/>
    <n v="1"/>
    <n v="388"/>
    <x v="0"/>
    <x v="1"/>
    <x v="8"/>
    <x v="0"/>
    <x v="0"/>
    <x v="0"/>
    <x v="0"/>
    <x v="0"/>
    <x v="275"/>
    <x v="280"/>
    <x v="1"/>
    <s v="Y"/>
    <s v="No"/>
    <x v="11"/>
    <x v="0"/>
    <n v="1"/>
    <x v="0"/>
    <n v="0"/>
    <x v="1"/>
    <n v="3"/>
    <x v="2"/>
    <x v="1"/>
    <x v="1"/>
    <x v="0"/>
    <x v="12"/>
  </r>
  <r>
    <x v="27"/>
    <x v="1"/>
    <s v="Travel_Rarely"/>
    <n v="147"/>
    <x v="1"/>
    <n v="20"/>
    <n v="2"/>
    <s v="Technical Degree"/>
    <n v="1"/>
    <n v="389"/>
    <x v="0"/>
    <x v="1"/>
    <x v="31"/>
    <x v="0"/>
    <x v="0"/>
    <x v="2"/>
    <x v="0"/>
    <x v="1"/>
    <x v="276"/>
    <x v="281"/>
    <x v="9"/>
    <s v="Y"/>
    <s v="Yes"/>
    <x v="12"/>
    <x v="0"/>
    <n v="4"/>
    <x v="0"/>
    <n v="1"/>
    <x v="4"/>
    <n v="4"/>
    <x v="1"/>
    <x v="1"/>
    <x v="1"/>
    <x v="0"/>
    <x v="5"/>
  </r>
  <r>
    <x v="25"/>
    <x v="1"/>
    <s v="Travel_Frequently"/>
    <n v="496"/>
    <x v="1"/>
    <n v="11"/>
    <n v="2"/>
    <s v="Medical"/>
    <n v="1"/>
    <n v="390"/>
    <x v="3"/>
    <x v="1"/>
    <x v="53"/>
    <x v="0"/>
    <x v="0"/>
    <x v="4"/>
    <x v="3"/>
    <x v="1"/>
    <x v="277"/>
    <x v="282"/>
    <x v="1"/>
    <s v="Y"/>
    <s v="Yes"/>
    <x v="4"/>
    <x v="0"/>
    <n v="3"/>
    <x v="0"/>
    <n v="1"/>
    <x v="7"/>
    <n v="3"/>
    <x v="1"/>
    <x v="8"/>
    <x v="7"/>
    <x v="2"/>
    <x v="6"/>
  </r>
  <r>
    <x v="2"/>
    <x v="1"/>
    <s v="Travel_Rarely"/>
    <n v="1372"/>
    <x v="1"/>
    <n v="1"/>
    <n v="3"/>
    <s v="Life Sciences"/>
    <n v="1"/>
    <n v="391"/>
    <x v="2"/>
    <x v="0"/>
    <x v="25"/>
    <x v="0"/>
    <x v="1"/>
    <x v="1"/>
    <x v="0"/>
    <x v="0"/>
    <x v="278"/>
    <x v="283"/>
    <x v="1"/>
    <s v="Y"/>
    <s v="No"/>
    <x v="3"/>
    <x v="0"/>
    <n v="2"/>
    <x v="0"/>
    <n v="0"/>
    <x v="6"/>
    <n v="3"/>
    <x v="1"/>
    <x v="18"/>
    <x v="16"/>
    <x v="8"/>
    <x v="1"/>
  </r>
  <r>
    <x v="20"/>
    <x v="0"/>
    <s v="Travel_Frequently"/>
    <n v="920"/>
    <x v="1"/>
    <n v="24"/>
    <n v="3"/>
    <s v="Life Sciences"/>
    <n v="1"/>
    <n v="392"/>
    <x v="2"/>
    <x v="1"/>
    <x v="38"/>
    <x v="0"/>
    <x v="1"/>
    <x v="2"/>
    <x v="2"/>
    <x v="2"/>
    <x v="279"/>
    <x v="284"/>
    <x v="9"/>
    <s v="Y"/>
    <s v="Yes"/>
    <x v="6"/>
    <x v="1"/>
    <n v="4"/>
    <x v="0"/>
    <n v="1"/>
    <x v="16"/>
    <n v="0"/>
    <x v="0"/>
    <x v="6"/>
    <x v="2"/>
    <x v="0"/>
    <x v="2"/>
  </r>
  <r>
    <x v="8"/>
    <x v="1"/>
    <s v="Travel_Rarely"/>
    <n v="688"/>
    <x v="1"/>
    <n v="23"/>
    <n v="4"/>
    <s v="Life Sciences"/>
    <n v="1"/>
    <n v="393"/>
    <x v="2"/>
    <x v="1"/>
    <x v="19"/>
    <x v="0"/>
    <x v="0"/>
    <x v="4"/>
    <x v="0"/>
    <x v="2"/>
    <x v="280"/>
    <x v="285"/>
    <x v="3"/>
    <s v="Y"/>
    <s v="No"/>
    <x v="9"/>
    <x v="0"/>
    <n v="2"/>
    <x v="0"/>
    <n v="1"/>
    <x v="1"/>
    <n v="2"/>
    <x v="1"/>
    <x v="4"/>
    <x v="3"/>
    <x v="1"/>
    <x v="3"/>
  </r>
  <r>
    <x v="25"/>
    <x v="0"/>
    <s v="Travel_Rarely"/>
    <n v="1449"/>
    <x v="1"/>
    <n v="16"/>
    <n v="4"/>
    <s v="Medical"/>
    <n v="1"/>
    <n v="394"/>
    <x v="3"/>
    <x v="1"/>
    <x v="18"/>
    <x v="0"/>
    <x v="1"/>
    <x v="2"/>
    <x v="1"/>
    <x v="2"/>
    <x v="281"/>
    <x v="286"/>
    <x v="7"/>
    <s v="Y"/>
    <s v="Yes"/>
    <x v="4"/>
    <x v="0"/>
    <n v="4"/>
    <x v="0"/>
    <n v="1"/>
    <x v="7"/>
    <n v="2"/>
    <x v="1"/>
    <x v="11"/>
    <x v="3"/>
    <x v="0"/>
    <x v="3"/>
  </r>
  <r>
    <x v="14"/>
    <x v="1"/>
    <s v="Travel_Rarely"/>
    <n v="1117"/>
    <x v="1"/>
    <n v="8"/>
    <n v="2"/>
    <s v="Life Sciences"/>
    <n v="1"/>
    <n v="395"/>
    <x v="2"/>
    <x v="0"/>
    <x v="45"/>
    <x v="0"/>
    <x v="1"/>
    <x v="1"/>
    <x v="0"/>
    <x v="0"/>
    <x v="282"/>
    <x v="287"/>
    <x v="1"/>
    <s v="Y"/>
    <s v="No"/>
    <x v="7"/>
    <x v="1"/>
    <n v="4"/>
    <x v="0"/>
    <n v="0"/>
    <x v="7"/>
    <n v="3"/>
    <x v="1"/>
    <x v="8"/>
    <x v="7"/>
    <x v="0"/>
    <x v="3"/>
  </r>
  <r>
    <x v="1"/>
    <x v="1"/>
    <s v="Travel_Frequently"/>
    <n v="636"/>
    <x v="1"/>
    <n v="10"/>
    <n v="4"/>
    <s v="Life Sciences"/>
    <n v="1"/>
    <n v="396"/>
    <x v="1"/>
    <x v="0"/>
    <x v="58"/>
    <x v="0"/>
    <x v="4"/>
    <x v="7"/>
    <x v="3"/>
    <x v="0"/>
    <x v="283"/>
    <x v="288"/>
    <x v="3"/>
    <s v="Y"/>
    <s v="Yes"/>
    <x v="0"/>
    <x v="0"/>
    <n v="4"/>
    <x v="0"/>
    <n v="0"/>
    <x v="14"/>
    <n v="4"/>
    <x v="1"/>
    <x v="11"/>
    <x v="3"/>
    <x v="1"/>
    <x v="3"/>
  </r>
  <r>
    <x v="9"/>
    <x v="1"/>
    <s v="Travel_Rarely"/>
    <n v="506"/>
    <x v="1"/>
    <n v="3"/>
    <n v="3"/>
    <s v="Technical Degree"/>
    <n v="1"/>
    <n v="397"/>
    <x v="1"/>
    <x v="1"/>
    <x v="37"/>
    <x v="0"/>
    <x v="0"/>
    <x v="1"/>
    <x v="1"/>
    <x v="0"/>
    <x v="284"/>
    <x v="289"/>
    <x v="5"/>
    <s v="Y"/>
    <s v="No"/>
    <x v="3"/>
    <x v="0"/>
    <n v="4"/>
    <x v="0"/>
    <n v="0"/>
    <x v="1"/>
    <n v="2"/>
    <x v="1"/>
    <x v="3"/>
    <x v="2"/>
    <x v="4"/>
    <x v="1"/>
  </r>
  <r>
    <x v="12"/>
    <x v="1"/>
    <s v="Travel_Frequently"/>
    <n v="444"/>
    <x v="0"/>
    <n v="5"/>
    <n v="3"/>
    <s v="Marketing"/>
    <n v="1"/>
    <n v="399"/>
    <x v="2"/>
    <x v="0"/>
    <x v="9"/>
    <x v="0"/>
    <x v="1"/>
    <x v="6"/>
    <x v="1"/>
    <x v="2"/>
    <x v="285"/>
    <x v="290"/>
    <x v="1"/>
    <s v="Y"/>
    <s v="No"/>
    <x v="0"/>
    <x v="0"/>
    <n v="3"/>
    <x v="0"/>
    <n v="1"/>
    <x v="17"/>
    <n v="5"/>
    <x v="2"/>
    <x v="4"/>
    <x v="3"/>
    <x v="3"/>
    <x v="3"/>
  </r>
  <r>
    <x v="25"/>
    <x v="0"/>
    <s v="Travel_Rarely"/>
    <n v="950"/>
    <x v="0"/>
    <n v="4"/>
    <n v="4"/>
    <s v="Marketing"/>
    <n v="1"/>
    <n v="401"/>
    <x v="2"/>
    <x v="1"/>
    <x v="24"/>
    <x v="1"/>
    <x v="0"/>
    <x v="0"/>
    <x v="0"/>
    <x v="0"/>
    <x v="286"/>
    <x v="291"/>
    <x v="1"/>
    <s v="Y"/>
    <s v="Yes"/>
    <x v="3"/>
    <x v="0"/>
    <n v="2"/>
    <x v="0"/>
    <n v="0"/>
    <x v="0"/>
    <n v="0"/>
    <x v="1"/>
    <x v="3"/>
    <x v="1"/>
    <x v="4"/>
    <x v="10"/>
  </r>
  <r>
    <x v="2"/>
    <x v="1"/>
    <s v="Travel_Frequently"/>
    <n v="889"/>
    <x v="1"/>
    <n v="9"/>
    <n v="3"/>
    <s v="Medical"/>
    <n v="1"/>
    <n v="403"/>
    <x v="0"/>
    <x v="1"/>
    <x v="20"/>
    <x v="0"/>
    <x v="1"/>
    <x v="1"/>
    <x v="0"/>
    <x v="1"/>
    <x v="287"/>
    <x v="292"/>
    <x v="1"/>
    <s v="Y"/>
    <s v="Yes"/>
    <x v="3"/>
    <x v="0"/>
    <n v="3"/>
    <x v="0"/>
    <n v="3"/>
    <x v="21"/>
    <n v="3"/>
    <x v="2"/>
    <x v="9"/>
    <x v="3"/>
    <x v="1"/>
    <x v="3"/>
  </r>
  <r>
    <x v="19"/>
    <x v="1"/>
    <s v="Travel_Frequently"/>
    <n v="555"/>
    <x v="0"/>
    <n v="26"/>
    <n v="3"/>
    <s v="Marketing"/>
    <n v="1"/>
    <n v="404"/>
    <x v="1"/>
    <x v="0"/>
    <x v="57"/>
    <x v="0"/>
    <x v="3"/>
    <x v="0"/>
    <x v="1"/>
    <x v="1"/>
    <x v="288"/>
    <x v="293"/>
    <x v="6"/>
    <s v="Y"/>
    <s v="No"/>
    <x v="9"/>
    <x v="0"/>
    <n v="4"/>
    <x v="0"/>
    <n v="1"/>
    <x v="18"/>
    <n v="2"/>
    <x v="3"/>
    <x v="23"/>
    <x v="0"/>
    <x v="5"/>
    <x v="5"/>
  </r>
  <r>
    <x v="41"/>
    <x v="0"/>
    <s v="Travel_Rarely"/>
    <n v="230"/>
    <x v="1"/>
    <n v="3"/>
    <n v="3"/>
    <s v="Life Sciences"/>
    <n v="1"/>
    <n v="405"/>
    <x v="1"/>
    <x v="1"/>
    <x v="60"/>
    <x v="0"/>
    <x v="1"/>
    <x v="2"/>
    <x v="2"/>
    <x v="0"/>
    <x v="289"/>
    <x v="294"/>
    <x v="1"/>
    <s v="Y"/>
    <s v="No"/>
    <x v="4"/>
    <x v="0"/>
    <n v="3"/>
    <x v="0"/>
    <n v="0"/>
    <x v="11"/>
    <n v="2"/>
    <x v="1"/>
    <x v="2"/>
    <x v="2"/>
    <x v="0"/>
    <x v="2"/>
  </r>
  <r>
    <x v="10"/>
    <x v="1"/>
    <s v="Travel_Rarely"/>
    <n v="1232"/>
    <x v="0"/>
    <n v="16"/>
    <n v="3"/>
    <s v="Marketing"/>
    <n v="1"/>
    <n v="406"/>
    <x v="1"/>
    <x v="1"/>
    <x v="16"/>
    <x v="0"/>
    <x v="2"/>
    <x v="0"/>
    <x v="1"/>
    <x v="1"/>
    <x v="290"/>
    <x v="295"/>
    <x v="4"/>
    <s v="Y"/>
    <s v="No"/>
    <x v="2"/>
    <x v="0"/>
    <n v="3"/>
    <x v="0"/>
    <n v="2"/>
    <x v="4"/>
    <n v="3"/>
    <x v="2"/>
    <x v="19"/>
    <x v="5"/>
    <x v="7"/>
    <x v="12"/>
  </r>
  <r>
    <x v="9"/>
    <x v="1"/>
    <s v="Travel_Frequently"/>
    <n v="566"/>
    <x v="1"/>
    <n v="18"/>
    <n v="4"/>
    <s v="Life Sciences"/>
    <n v="1"/>
    <n v="407"/>
    <x v="1"/>
    <x v="1"/>
    <x v="6"/>
    <x v="2"/>
    <x v="1"/>
    <x v="2"/>
    <x v="0"/>
    <x v="1"/>
    <x v="291"/>
    <x v="296"/>
    <x v="5"/>
    <s v="Y"/>
    <s v="No"/>
    <x v="11"/>
    <x v="0"/>
    <n v="4"/>
    <x v="0"/>
    <n v="2"/>
    <x v="21"/>
    <n v="2"/>
    <x v="1"/>
    <x v="6"/>
    <x v="2"/>
    <x v="0"/>
    <x v="2"/>
  </r>
  <r>
    <x v="31"/>
    <x v="1"/>
    <s v="Travel_Rarely"/>
    <n v="1302"/>
    <x v="1"/>
    <n v="2"/>
    <n v="3"/>
    <s v="Medical"/>
    <n v="1"/>
    <n v="408"/>
    <x v="2"/>
    <x v="1"/>
    <x v="9"/>
    <x v="3"/>
    <x v="0"/>
    <x v="3"/>
    <x v="1"/>
    <x v="2"/>
    <x v="292"/>
    <x v="297"/>
    <x v="6"/>
    <s v="Y"/>
    <s v="No"/>
    <x v="11"/>
    <x v="0"/>
    <n v="4"/>
    <x v="0"/>
    <n v="1"/>
    <x v="10"/>
    <n v="3"/>
    <x v="1"/>
    <x v="9"/>
    <x v="10"/>
    <x v="1"/>
    <x v="3"/>
  </r>
  <r>
    <x v="0"/>
    <x v="1"/>
    <s v="Travel_Rarely"/>
    <n v="334"/>
    <x v="0"/>
    <n v="2"/>
    <n v="4"/>
    <s v="Life Sciences"/>
    <n v="1"/>
    <n v="410"/>
    <x v="2"/>
    <x v="1"/>
    <x v="64"/>
    <x v="0"/>
    <x v="3"/>
    <x v="5"/>
    <x v="1"/>
    <x v="0"/>
    <x v="293"/>
    <x v="298"/>
    <x v="1"/>
    <s v="Y"/>
    <s v="No"/>
    <x v="12"/>
    <x v="0"/>
    <n v="2"/>
    <x v="0"/>
    <n v="0"/>
    <x v="14"/>
    <n v="2"/>
    <x v="1"/>
    <x v="14"/>
    <x v="15"/>
    <x v="0"/>
    <x v="10"/>
  </r>
  <r>
    <x v="41"/>
    <x v="1"/>
    <s v="Travel_Rarely"/>
    <n v="812"/>
    <x v="0"/>
    <n v="10"/>
    <n v="3"/>
    <s v="Medical"/>
    <n v="1"/>
    <n v="411"/>
    <x v="2"/>
    <x v="0"/>
    <x v="68"/>
    <x v="1"/>
    <x v="1"/>
    <x v="6"/>
    <x v="2"/>
    <x v="0"/>
    <x v="294"/>
    <x v="299"/>
    <x v="1"/>
    <s v="Y"/>
    <s v="No"/>
    <x v="3"/>
    <x v="0"/>
    <n v="1"/>
    <x v="0"/>
    <n v="0"/>
    <x v="11"/>
    <n v="2"/>
    <x v="1"/>
    <x v="2"/>
    <x v="2"/>
    <x v="0"/>
    <x v="2"/>
  </r>
  <r>
    <x v="14"/>
    <x v="1"/>
    <s v="Travel_Rarely"/>
    <n v="1476"/>
    <x v="1"/>
    <n v="16"/>
    <n v="2"/>
    <s v="Medical"/>
    <n v="1"/>
    <n v="412"/>
    <x v="0"/>
    <x v="1"/>
    <x v="67"/>
    <x v="2"/>
    <x v="0"/>
    <x v="4"/>
    <x v="3"/>
    <x v="0"/>
    <x v="295"/>
    <x v="300"/>
    <x v="4"/>
    <s v="Y"/>
    <s v="No"/>
    <x v="12"/>
    <x v="0"/>
    <n v="3"/>
    <x v="0"/>
    <n v="0"/>
    <x v="15"/>
    <n v="2"/>
    <x v="1"/>
    <x v="3"/>
    <x v="7"/>
    <x v="0"/>
    <x v="1"/>
  </r>
  <r>
    <x v="12"/>
    <x v="1"/>
    <s v="Travel_Rarely"/>
    <n v="218"/>
    <x v="0"/>
    <n v="7"/>
    <n v="3"/>
    <s v="Technical Degree"/>
    <n v="1"/>
    <n v="416"/>
    <x v="0"/>
    <x v="1"/>
    <x v="54"/>
    <x v="2"/>
    <x v="0"/>
    <x v="0"/>
    <x v="0"/>
    <x v="1"/>
    <x v="296"/>
    <x v="301"/>
    <x v="5"/>
    <s v="Y"/>
    <s v="No"/>
    <x v="0"/>
    <x v="0"/>
    <n v="2"/>
    <x v="0"/>
    <n v="1"/>
    <x v="1"/>
    <n v="3"/>
    <x v="2"/>
    <x v="3"/>
    <x v="1"/>
    <x v="4"/>
    <x v="1"/>
  </r>
  <r>
    <x v="22"/>
    <x v="1"/>
    <s v="Travel_Rarely"/>
    <n v="1132"/>
    <x v="1"/>
    <n v="1"/>
    <n v="3"/>
    <s v="Medical"/>
    <n v="1"/>
    <n v="417"/>
    <x v="1"/>
    <x v="1"/>
    <x v="24"/>
    <x v="2"/>
    <x v="2"/>
    <x v="4"/>
    <x v="0"/>
    <x v="2"/>
    <x v="297"/>
    <x v="302"/>
    <x v="4"/>
    <s v="Y"/>
    <s v="No"/>
    <x v="8"/>
    <x v="0"/>
    <n v="1"/>
    <x v="0"/>
    <n v="3"/>
    <x v="16"/>
    <n v="5"/>
    <x v="2"/>
    <x v="29"/>
    <x v="15"/>
    <x v="2"/>
    <x v="1"/>
  </r>
  <r>
    <x v="9"/>
    <x v="1"/>
    <s v="Non-Travel"/>
    <n v="1105"/>
    <x v="1"/>
    <n v="24"/>
    <n v="4"/>
    <s v="Life Sciences"/>
    <n v="1"/>
    <n v="419"/>
    <x v="0"/>
    <x v="0"/>
    <x v="35"/>
    <x v="0"/>
    <x v="0"/>
    <x v="2"/>
    <x v="1"/>
    <x v="1"/>
    <x v="298"/>
    <x v="303"/>
    <x v="8"/>
    <s v="Y"/>
    <s v="No"/>
    <x v="2"/>
    <x v="0"/>
    <n v="3"/>
    <x v="0"/>
    <n v="1"/>
    <x v="27"/>
    <n v="3"/>
    <x v="1"/>
    <x v="7"/>
    <x v="6"/>
    <x v="0"/>
    <x v="5"/>
  </r>
  <r>
    <x v="5"/>
    <x v="1"/>
    <s v="Travel_Rarely"/>
    <n v="906"/>
    <x v="0"/>
    <n v="7"/>
    <n v="3"/>
    <s v="Life Sciences"/>
    <n v="1"/>
    <n v="420"/>
    <x v="2"/>
    <x v="1"/>
    <x v="59"/>
    <x v="1"/>
    <x v="0"/>
    <x v="0"/>
    <x v="2"/>
    <x v="1"/>
    <x v="299"/>
    <x v="304"/>
    <x v="1"/>
    <s v="Y"/>
    <s v="No"/>
    <x v="9"/>
    <x v="0"/>
    <n v="3"/>
    <x v="0"/>
    <n v="1"/>
    <x v="10"/>
    <n v="3"/>
    <x v="2"/>
    <x v="20"/>
    <x v="6"/>
    <x v="5"/>
    <x v="5"/>
  </r>
  <r>
    <x v="8"/>
    <x v="1"/>
    <s v="Travel_Rarely"/>
    <n v="849"/>
    <x v="1"/>
    <n v="25"/>
    <n v="2"/>
    <s v="Life Sciences"/>
    <n v="1"/>
    <n v="421"/>
    <x v="3"/>
    <x v="0"/>
    <x v="6"/>
    <x v="1"/>
    <x v="2"/>
    <x v="7"/>
    <x v="1"/>
    <x v="1"/>
    <x v="300"/>
    <x v="305"/>
    <x v="9"/>
    <s v="Y"/>
    <s v="No"/>
    <x v="8"/>
    <x v="0"/>
    <n v="3"/>
    <x v="0"/>
    <n v="1"/>
    <x v="16"/>
    <n v="2"/>
    <x v="1"/>
    <x v="1"/>
    <x v="6"/>
    <x v="0"/>
    <x v="9"/>
  </r>
  <r>
    <x v="34"/>
    <x v="1"/>
    <s v="Non-Travel"/>
    <n v="390"/>
    <x v="1"/>
    <n v="1"/>
    <n v="4"/>
    <s v="Life Sciences"/>
    <n v="1"/>
    <n v="422"/>
    <x v="2"/>
    <x v="1"/>
    <x v="47"/>
    <x v="3"/>
    <x v="0"/>
    <x v="4"/>
    <x v="2"/>
    <x v="2"/>
    <x v="301"/>
    <x v="306"/>
    <x v="7"/>
    <s v="Y"/>
    <s v="Yes"/>
    <x v="4"/>
    <x v="0"/>
    <n v="4"/>
    <x v="0"/>
    <n v="1"/>
    <x v="4"/>
    <n v="2"/>
    <x v="1"/>
    <x v="8"/>
    <x v="7"/>
    <x v="1"/>
    <x v="3"/>
  </r>
  <r>
    <x v="12"/>
    <x v="1"/>
    <s v="Travel_Rarely"/>
    <n v="691"/>
    <x v="1"/>
    <n v="5"/>
    <n v="4"/>
    <s v="Technical Degree"/>
    <n v="1"/>
    <n v="423"/>
    <x v="1"/>
    <x v="1"/>
    <x v="27"/>
    <x v="0"/>
    <x v="1"/>
    <x v="1"/>
    <x v="0"/>
    <x v="1"/>
    <x v="302"/>
    <x v="307"/>
    <x v="4"/>
    <s v="Y"/>
    <s v="Yes"/>
    <x v="3"/>
    <x v="0"/>
    <n v="3"/>
    <x v="0"/>
    <n v="1"/>
    <x v="3"/>
    <n v="4"/>
    <x v="1"/>
    <x v="8"/>
    <x v="3"/>
    <x v="0"/>
    <x v="6"/>
  </r>
  <r>
    <x v="12"/>
    <x v="1"/>
    <s v="Travel_Rarely"/>
    <n v="106"/>
    <x v="2"/>
    <n v="2"/>
    <n v="3"/>
    <s v="Human Resources"/>
    <n v="1"/>
    <n v="424"/>
    <x v="3"/>
    <x v="1"/>
    <x v="50"/>
    <x v="1"/>
    <x v="0"/>
    <x v="8"/>
    <x v="3"/>
    <x v="1"/>
    <x v="303"/>
    <x v="308"/>
    <x v="9"/>
    <s v="Y"/>
    <s v="No"/>
    <x v="3"/>
    <x v="0"/>
    <n v="4"/>
    <x v="0"/>
    <n v="0"/>
    <x v="15"/>
    <n v="1"/>
    <x v="1"/>
    <x v="4"/>
    <x v="3"/>
    <x v="1"/>
    <x v="2"/>
  </r>
  <r>
    <x v="28"/>
    <x v="1"/>
    <s v="Travel_Frequently"/>
    <n v="1249"/>
    <x v="1"/>
    <n v="7"/>
    <n v="3"/>
    <s v="Life Sciences"/>
    <n v="1"/>
    <n v="425"/>
    <x v="3"/>
    <x v="1"/>
    <x v="28"/>
    <x v="0"/>
    <x v="2"/>
    <x v="2"/>
    <x v="3"/>
    <x v="2"/>
    <x v="304"/>
    <x v="309"/>
    <x v="1"/>
    <s v="Y"/>
    <s v="No"/>
    <x v="11"/>
    <x v="0"/>
    <n v="1"/>
    <x v="0"/>
    <n v="1"/>
    <x v="13"/>
    <n v="2"/>
    <x v="1"/>
    <x v="25"/>
    <x v="5"/>
    <x v="10"/>
    <x v="7"/>
  </r>
  <r>
    <x v="12"/>
    <x v="1"/>
    <s v="Travel_Rarely"/>
    <n v="192"/>
    <x v="1"/>
    <n v="2"/>
    <n v="4"/>
    <s v="Life Sciences"/>
    <n v="1"/>
    <n v="426"/>
    <x v="1"/>
    <x v="1"/>
    <x v="47"/>
    <x v="0"/>
    <x v="1"/>
    <x v="1"/>
    <x v="0"/>
    <x v="2"/>
    <x v="305"/>
    <x v="310"/>
    <x v="4"/>
    <s v="Y"/>
    <s v="Yes"/>
    <x v="11"/>
    <x v="0"/>
    <n v="2"/>
    <x v="0"/>
    <n v="1"/>
    <x v="8"/>
    <n v="2"/>
    <x v="0"/>
    <x v="4"/>
    <x v="3"/>
    <x v="3"/>
    <x v="3"/>
  </r>
  <r>
    <x v="3"/>
    <x v="1"/>
    <s v="Travel_Frequently"/>
    <n v="553"/>
    <x v="1"/>
    <n v="5"/>
    <n v="4"/>
    <s v="Life Sciences"/>
    <n v="1"/>
    <n v="428"/>
    <x v="2"/>
    <x v="0"/>
    <x v="69"/>
    <x v="0"/>
    <x v="2"/>
    <x v="5"/>
    <x v="1"/>
    <x v="1"/>
    <x v="306"/>
    <x v="311"/>
    <x v="2"/>
    <s v="Y"/>
    <s v="No"/>
    <x v="0"/>
    <x v="0"/>
    <n v="2"/>
    <x v="0"/>
    <n v="2"/>
    <x v="4"/>
    <n v="2"/>
    <x v="1"/>
    <x v="1"/>
    <x v="8"/>
    <x v="6"/>
    <x v="5"/>
  </r>
  <r>
    <x v="22"/>
    <x v="1"/>
    <s v="Travel_Rarely"/>
    <n v="117"/>
    <x v="1"/>
    <n v="10"/>
    <n v="1"/>
    <s v="Medical"/>
    <n v="1"/>
    <n v="429"/>
    <x v="1"/>
    <x v="1"/>
    <x v="39"/>
    <x v="0"/>
    <x v="3"/>
    <x v="5"/>
    <x v="3"/>
    <x v="1"/>
    <x v="307"/>
    <x v="312"/>
    <x v="1"/>
    <s v="Y"/>
    <s v="Yes"/>
    <x v="9"/>
    <x v="0"/>
    <n v="4"/>
    <x v="0"/>
    <n v="0"/>
    <x v="24"/>
    <n v="3"/>
    <x v="1"/>
    <x v="17"/>
    <x v="5"/>
    <x v="14"/>
    <x v="13"/>
  </r>
  <r>
    <x v="23"/>
    <x v="1"/>
    <s v="Travel_Frequently"/>
    <n v="185"/>
    <x v="1"/>
    <n v="10"/>
    <n v="4"/>
    <s v="Life Sciences"/>
    <n v="1"/>
    <n v="430"/>
    <x v="1"/>
    <x v="0"/>
    <x v="30"/>
    <x v="0"/>
    <x v="1"/>
    <x v="2"/>
    <x v="0"/>
    <x v="0"/>
    <x v="308"/>
    <x v="313"/>
    <x v="4"/>
    <s v="Y"/>
    <s v="No"/>
    <x v="12"/>
    <x v="0"/>
    <n v="1"/>
    <x v="0"/>
    <n v="0"/>
    <x v="15"/>
    <n v="5"/>
    <x v="1"/>
    <x v="3"/>
    <x v="1"/>
    <x v="1"/>
    <x v="1"/>
  </r>
  <r>
    <x v="1"/>
    <x v="1"/>
    <s v="Travel_Rarely"/>
    <n v="1091"/>
    <x v="1"/>
    <n v="1"/>
    <n v="2"/>
    <s v="Technical Degree"/>
    <n v="1"/>
    <n v="431"/>
    <x v="1"/>
    <x v="0"/>
    <x v="62"/>
    <x v="1"/>
    <x v="3"/>
    <x v="4"/>
    <x v="2"/>
    <x v="0"/>
    <x v="309"/>
    <x v="314"/>
    <x v="8"/>
    <s v="Y"/>
    <s v="Yes"/>
    <x v="3"/>
    <x v="0"/>
    <n v="4"/>
    <x v="0"/>
    <n v="0"/>
    <x v="25"/>
    <n v="2"/>
    <x v="1"/>
    <x v="5"/>
    <x v="10"/>
    <x v="0"/>
    <x v="1"/>
  </r>
  <r>
    <x v="39"/>
    <x v="0"/>
    <s v="Travel_Rarely"/>
    <n v="723"/>
    <x v="1"/>
    <n v="8"/>
    <n v="4"/>
    <s v="Medical"/>
    <n v="1"/>
    <n v="433"/>
    <x v="1"/>
    <x v="1"/>
    <x v="65"/>
    <x v="1"/>
    <x v="0"/>
    <x v="1"/>
    <x v="1"/>
    <x v="1"/>
    <x v="132"/>
    <x v="315"/>
    <x v="7"/>
    <s v="Y"/>
    <s v="No"/>
    <x v="2"/>
    <x v="0"/>
    <n v="1"/>
    <x v="0"/>
    <n v="0"/>
    <x v="27"/>
    <n v="3"/>
    <x v="2"/>
    <x v="3"/>
    <x v="3"/>
    <x v="4"/>
    <x v="1"/>
  </r>
  <r>
    <x v="4"/>
    <x v="1"/>
    <s v="Travel_Rarely"/>
    <n v="1220"/>
    <x v="1"/>
    <n v="5"/>
    <n v="3"/>
    <s v="Life Sciences"/>
    <n v="1"/>
    <n v="434"/>
    <x v="1"/>
    <x v="0"/>
    <x v="65"/>
    <x v="0"/>
    <x v="1"/>
    <x v="1"/>
    <x v="1"/>
    <x v="0"/>
    <x v="310"/>
    <x v="316"/>
    <x v="1"/>
    <s v="Y"/>
    <s v="Yes"/>
    <x v="3"/>
    <x v="0"/>
    <n v="2"/>
    <x v="0"/>
    <n v="0"/>
    <x v="21"/>
    <n v="2"/>
    <x v="2"/>
    <x v="9"/>
    <x v="7"/>
    <x v="1"/>
    <x v="3"/>
  </r>
  <r>
    <x v="5"/>
    <x v="1"/>
    <s v="Travel_Rarely"/>
    <n v="588"/>
    <x v="0"/>
    <n v="8"/>
    <n v="2"/>
    <s v="Technical Degree"/>
    <n v="1"/>
    <n v="436"/>
    <x v="1"/>
    <x v="0"/>
    <x v="63"/>
    <x v="1"/>
    <x v="0"/>
    <x v="0"/>
    <x v="1"/>
    <x v="1"/>
    <x v="311"/>
    <x v="317"/>
    <x v="1"/>
    <s v="Y"/>
    <s v="Yes"/>
    <x v="0"/>
    <x v="0"/>
    <n v="4"/>
    <x v="0"/>
    <n v="0"/>
    <x v="10"/>
    <n v="2"/>
    <x v="1"/>
    <x v="20"/>
    <x v="16"/>
    <x v="14"/>
    <x v="12"/>
  </r>
  <r>
    <x v="4"/>
    <x v="1"/>
    <s v="Travel_Rarely"/>
    <n v="1377"/>
    <x v="0"/>
    <n v="2"/>
    <n v="3"/>
    <s v="Life Sciences"/>
    <n v="1"/>
    <n v="437"/>
    <x v="2"/>
    <x v="1"/>
    <x v="69"/>
    <x v="0"/>
    <x v="0"/>
    <x v="0"/>
    <x v="2"/>
    <x v="0"/>
    <x v="312"/>
    <x v="318"/>
    <x v="1"/>
    <s v="Y"/>
    <s v="Yes"/>
    <x v="0"/>
    <x v="0"/>
    <n v="1"/>
    <x v="0"/>
    <n v="0"/>
    <x v="7"/>
    <n v="3"/>
    <x v="1"/>
    <x v="8"/>
    <x v="0"/>
    <x v="0"/>
    <x v="10"/>
  </r>
  <r>
    <x v="12"/>
    <x v="1"/>
    <s v="Travel_Rarely"/>
    <n v="691"/>
    <x v="0"/>
    <n v="7"/>
    <n v="3"/>
    <s v="Marketing"/>
    <n v="1"/>
    <n v="438"/>
    <x v="2"/>
    <x v="1"/>
    <x v="32"/>
    <x v="0"/>
    <x v="0"/>
    <x v="0"/>
    <x v="0"/>
    <x v="2"/>
    <x v="313"/>
    <x v="319"/>
    <x v="5"/>
    <s v="Y"/>
    <s v="No"/>
    <x v="3"/>
    <x v="0"/>
    <n v="4"/>
    <x v="0"/>
    <n v="3"/>
    <x v="10"/>
    <n v="3"/>
    <x v="1"/>
    <x v="5"/>
    <x v="1"/>
    <x v="1"/>
    <x v="1"/>
  </r>
  <r>
    <x v="5"/>
    <x v="1"/>
    <s v="Travel_Rarely"/>
    <n v="1018"/>
    <x v="1"/>
    <n v="2"/>
    <n v="4"/>
    <s v="Medical"/>
    <n v="1"/>
    <n v="439"/>
    <x v="3"/>
    <x v="0"/>
    <x v="69"/>
    <x v="2"/>
    <x v="0"/>
    <x v="1"/>
    <x v="0"/>
    <x v="0"/>
    <x v="314"/>
    <x v="320"/>
    <x v="8"/>
    <s v="Y"/>
    <s v="No"/>
    <x v="10"/>
    <x v="0"/>
    <n v="3"/>
    <x v="0"/>
    <n v="0"/>
    <x v="1"/>
    <n v="0"/>
    <x v="2"/>
    <x v="5"/>
    <x v="1"/>
    <x v="0"/>
    <x v="1"/>
  </r>
  <r>
    <x v="14"/>
    <x v="0"/>
    <s v="Travel_Rarely"/>
    <n v="1157"/>
    <x v="1"/>
    <n v="2"/>
    <n v="4"/>
    <s v="Medical"/>
    <n v="1"/>
    <n v="440"/>
    <x v="3"/>
    <x v="1"/>
    <x v="9"/>
    <x v="3"/>
    <x v="1"/>
    <x v="1"/>
    <x v="0"/>
    <x v="1"/>
    <x v="315"/>
    <x v="321"/>
    <x v="6"/>
    <s v="Y"/>
    <s v="Yes"/>
    <x v="4"/>
    <x v="0"/>
    <n v="4"/>
    <x v="0"/>
    <n v="0"/>
    <x v="7"/>
    <n v="4"/>
    <x v="2"/>
    <x v="11"/>
    <x v="3"/>
    <x v="3"/>
    <x v="3"/>
  </r>
  <r>
    <x v="7"/>
    <x v="1"/>
    <s v="Travel_Rarely"/>
    <n v="1275"/>
    <x v="1"/>
    <n v="28"/>
    <n v="2"/>
    <s v="Medical"/>
    <n v="1"/>
    <n v="441"/>
    <x v="2"/>
    <x v="0"/>
    <x v="51"/>
    <x v="0"/>
    <x v="0"/>
    <x v="1"/>
    <x v="0"/>
    <x v="1"/>
    <x v="316"/>
    <x v="322"/>
    <x v="1"/>
    <s v="Y"/>
    <s v="No"/>
    <x v="4"/>
    <x v="0"/>
    <n v="4"/>
    <x v="0"/>
    <n v="2"/>
    <x v="27"/>
    <n v="2"/>
    <x v="1"/>
    <x v="1"/>
    <x v="6"/>
    <x v="1"/>
    <x v="12"/>
  </r>
  <r>
    <x v="12"/>
    <x v="1"/>
    <s v="Travel_Frequently"/>
    <n v="798"/>
    <x v="1"/>
    <n v="7"/>
    <n v="2"/>
    <s v="Life Sciences"/>
    <n v="1"/>
    <n v="442"/>
    <x v="1"/>
    <x v="0"/>
    <x v="24"/>
    <x v="1"/>
    <x v="2"/>
    <x v="3"/>
    <x v="2"/>
    <x v="1"/>
    <x v="317"/>
    <x v="323"/>
    <x v="1"/>
    <s v="Y"/>
    <s v="No"/>
    <x v="13"/>
    <x v="1"/>
    <n v="1"/>
    <x v="0"/>
    <n v="1"/>
    <x v="1"/>
    <n v="2"/>
    <x v="1"/>
    <x v="1"/>
    <x v="5"/>
    <x v="6"/>
    <x v="12"/>
  </r>
  <r>
    <x v="22"/>
    <x v="1"/>
    <s v="Travel_Frequently"/>
    <n v="672"/>
    <x v="1"/>
    <n v="7"/>
    <n v="2"/>
    <s v="Medical"/>
    <n v="1"/>
    <n v="444"/>
    <x v="1"/>
    <x v="1"/>
    <x v="60"/>
    <x v="1"/>
    <x v="4"/>
    <x v="5"/>
    <x v="0"/>
    <x v="1"/>
    <x v="318"/>
    <x v="324"/>
    <x v="1"/>
    <s v="Y"/>
    <s v="No"/>
    <x v="2"/>
    <x v="0"/>
    <n v="1"/>
    <x v="0"/>
    <n v="1"/>
    <x v="24"/>
    <n v="2"/>
    <x v="1"/>
    <x v="17"/>
    <x v="5"/>
    <x v="11"/>
    <x v="6"/>
  </r>
  <r>
    <x v="22"/>
    <x v="0"/>
    <s v="Travel_Rarely"/>
    <n v="1162"/>
    <x v="0"/>
    <n v="3"/>
    <n v="2"/>
    <s v="Medical"/>
    <n v="1"/>
    <n v="445"/>
    <x v="2"/>
    <x v="0"/>
    <x v="26"/>
    <x v="0"/>
    <x v="0"/>
    <x v="0"/>
    <x v="2"/>
    <x v="1"/>
    <x v="319"/>
    <x v="325"/>
    <x v="5"/>
    <s v="Y"/>
    <s v="Yes"/>
    <x v="11"/>
    <x v="0"/>
    <n v="1"/>
    <x v="0"/>
    <n v="0"/>
    <x v="4"/>
    <n v="3"/>
    <x v="2"/>
    <x v="6"/>
    <x v="2"/>
    <x v="0"/>
    <x v="2"/>
  </r>
  <r>
    <x v="3"/>
    <x v="1"/>
    <s v="Travel_Frequently"/>
    <n v="508"/>
    <x v="0"/>
    <n v="10"/>
    <n v="3"/>
    <s v="Marketing"/>
    <n v="1"/>
    <n v="446"/>
    <x v="0"/>
    <x v="1"/>
    <x v="55"/>
    <x v="1"/>
    <x v="0"/>
    <x v="0"/>
    <x v="0"/>
    <x v="0"/>
    <x v="320"/>
    <x v="326"/>
    <x v="9"/>
    <s v="Y"/>
    <s v="No"/>
    <x v="9"/>
    <x v="0"/>
    <n v="3"/>
    <x v="0"/>
    <n v="0"/>
    <x v="15"/>
    <n v="6"/>
    <x v="2"/>
    <x v="5"/>
    <x v="1"/>
    <x v="0"/>
    <x v="9"/>
  </r>
  <r>
    <x v="40"/>
    <x v="1"/>
    <s v="Travel_Rarely"/>
    <n v="1482"/>
    <x v="1"/>
    <n v="5"/>
    <n v="5"/>
    <s v="Life Sciences"/>
    <n v="1"/>
    <n v="447"/>
    <x v="2"/>
    <x v="1"/>
    <x v="25"/>
    <x v="0"/>
    <x v="4"/>
    <x v="7"/>
    <x v="2"/>
    <x v="1"/>
    <x v="321"/>
    <x v="327"/>
    <x v="5"/>
    <s v="Y"/>
    <s v="No"/>
    <x v="0"/>
    <x v="0"/>
    <n v="2"/>
    <x v="0"/>
    <n v="1"/>
    <x v="24"/>
    <n v="2"/>
    <x v="1"/>
    <x v="11"/>
    <x v="3"/>
    <x v="1"/>
    <x v="9"/>
  </r>
  <r>
    <x v="23"/>
    <x v="1"/>
    <s v="Travel_Frequently"/>
    <n v="559"/>
    <x v="1"/>
    <n v="10"/>
    <n v="4"/>
    <s v="Life Sciences"/>
    <n v="1"/>
    <n v="448"/>
    <x v="1"/>
    <x v="0"/>
    <x v="19"/>
    <x v="1"/>
    <x v="0"/>
    <x v="2"/>
    <x v="2"/>
    <x v="2"/>
    <x v="322"/>
    <x v="328"/>
    <x v="1"/>
    <s v="Y"/>
    <s v="No"/>
    <x v="0"/>
    <x v="0"/>
    <n v="2"/>
    <x v="0"/>
    <n v="1"/>
    <x v="15"/>
    <n v="3"/>
    <x v="3"/>
    <x v="7"/>
    <x v="1"/>
    <x v="0"/>
    <x v="2"/>
  </r>
  <r>
    <x v="4"/>
    <x v="1"/>
    <s v="Non-Travel"/>
    <n v="210"/>
    <x v="0"/>
    <n v="1"/>
    <n v="1"/>
    <s v="Marketing"/>
    <n v="1"/>
    <n v="449"/>
    <x v="1"/>
    <x v="1"/>
    <x v="32"/>
    <x v="0"/>
    <x v="0"/>
    <x v="0"/>
    <x v="1"/>
    <x v="1"/>
    <x v="323"/>
    <x v="329"/>
    <x v="4"/>
    <s v="Y"/>
    <s v="Yes"/>
    <x v="4"/>
    <x v="0"/>
    <n v="4"/>
    <x v="0"/>
    <n v="1"/>
    <x v="3"/>
    <n v="0"/>
    <x v="1"/>
    <x v="8"/>
    <x v="0"/>
    <x v="1"/>
    <x v="10"/>
  </r>
  <r>
    <x v="33"/>
    <x v="1"/>
    <s v="Travel_Frequently"/>
    <n v="928"/>
    <x v="1"/>
    <n v="20"/>
    <n v="4"/>
    <s v="Life Sciences"/>
    <n v="1"/>
    <n v="450"/>
    <x v="2"/>
    <x v="0"/>
    <x v="11"/>
    <x v="0"/>
    <x v="0"/>
    <x v="1"/>
    <x v="2"/>
    <x v="0"/>
    <x v="324"/>
    <x v="330"/>
    <x v="9"/>
    <s v="Y"/>
    <s v="No"/>
    <x v="3"/>
    <x v="0"/>
    <n v="4"/>
    <x v="0"/>
    <n v="0"/>
    <x v="26"/>
    <n v="4"/>
    <x v="2"/>
    <x v="9"/>
    <x v="7"/>
    <x v="0"/>
    <x v="6"/>
  </r>
  <r>
    <x v="23"/>
    <x v="1"/>
    <s v="Travel_Rarely"/>
    <n v="1001"/>
    <x v="1"/>
    <n v="7"/>
    <n v="3"/>
    <s v="Life Sciences"/>
    <n v="1"/>
    <n v="451"/>
    <x v="1"/>
    <x v="0"/>
    <x v="38"/>
    <x v="0"/>
    <x v="2"/>
    <x v="4"/>
    <x v="3"/>
    <x v="1"/>
    <x v="325"/>
    <x v="331"/>
    <x v="0"/>
    <s v="Y"/>
    <s v="No"/>
    <x v="10"/>
    <x v="0"/>
    <n v="1"/>
    <x v="0"/>
    <n v="1"/>
    <x v="1"/>
    <n v="1"/>
    <x v="2"/>
    <x v="6"/>
    <x v="2"/>
    <x v="0"/>
    <x v="2"/>
  </r>
  <r>
    <x v="28"/>
    <x v="1"/>
    <s v="Travel_Rarely"/>
    <n v="549"/>
    <x v="1"/>
    <n v="8"/>
    <n v="4"/>
    <s v="Other"/>
    <n v="1"/>
    <n v="452"/>
    <x v="2"/>
    <x v="1"/>
    <x v="29"/>
    <x v="0"/>
    <x v="0"/>
    <x v="1"/>
    <x v="0"/>
    <x v="1"/>
    <x v="326"/>
    <x v="332"/>
    <x v="3"/>
    <s v="Y"/>
    <s v="No"/>
    <x v="9"/>
    <x v="0"/>
    <n v="1"/>
    <x v="0"/>
    <n v="2"/>
    <x v="4"/>
    <n v="3"/>
    <x v="1"/>
    <x v="1"/>
    <x v="5"/>
    <x v="10"/>
    <x v="5"/>
  </r>
  <r>
    <x v="32"/>
    <x v="1"/>
    <s v="Travel_Rarely"/>
    <n v="1124"/>
    <x v="0"/>
    <n v="1"/>
    <n v="2"/>
    <s v="Medical"/>
    <n v="1"/>
    <n v="453"/>
    <x v="0"/>
    <x v="1"/>
    <x v="42"/>
    <x v="3"/>
    <x v="0"/>
    <x v="0"/>
    <x v="0"/>
    <x v="1"/>
    <x v="327"/>
    <x v="333"/>
    <x v="7"/>
    <s v="Y"/>
    <s v="Yes"/>
    <x v="6"/>
    <x v="1"/>
    <n v="3"/>
    <x v="0"/>
    <n v="3"/>
    <x v="3"/>
    <n v="2"/>
    <x v="2"/>
    <x v="9"/>
    <x v="7"/>
    <x v="0"/>
    <x v="3"/>
  </r>
  <r>
    <x v="11"/>
    <x v="0"/>
    <s v="Travel_Rarely"/>
    <n v="318"/>
    <x v="1"/>
    <n v="8"/>
    <n v="4"/>
    <s v="Other"/>
    <n v="1"/>
    <n v="454"/>
    <x v="0"/>
    <x v="1"/>
    <x v="57"/>
    <x v="3"/>
    <x v="1"/>
    <x v="2"/>
    <x v="3"/>
    <x v="1"/>
    <x v="328"/>
    <x v="334"/>
    <x v="1"/>
    <s v="Y"/>
    <s v="Yes"/>
    <x v="0"/>
    <x v="0"/>
    <n v="4"/>
    <x v="0"/>
    <n v="0"/>
    <x v="2"/>
    <n v="4"/>
    <x v="2"/>
    <x v="5"/>
    <x v="1"/>
    <x v="0"/>
    <x v="1"/>
  </r>
  <r>
    <x v="11"/>
    <x v="1"/>
    <s v="Travel_Rarely"/>
    <n v="738"/>
    <x v="1"/>
    <n v="9"/>
    <n v="5"/>
    <s v="Other"/>
    <n v="1"/>
    <n v="455"/>
    <x v="0"/>
    <x v="1"/>
    <x v="37"/>
    <x v="1"/>
    <x v="1"/>
    <x v="2"/>
    <x v="0"/>
    <x v="0"/>
    <x v="329"/>
    <x v="335"/>
    <x v="4"/>
    <s v="Y"/>
    <s v="No"/>
    <x v="8"/>
    <x v="0"/>
    <n v="3"/>
    <x v="0"/>
    <n v="0"/>
    <x v="21"/>
    <n v="2"/>
    <x v="1"/>
    <x v="11"/>
    <x v="3"/>
    <x v="3"/>
    <x v="3"/>
  </r>
  <r>
    <x v="7"/>
    <x v="1"/>
    <s v="Travel_Rarely"/>
    <n v="570"/>
    <x v="0"/>
    <n v="5"/>
    <n v="3"/>
    <s v="Marketing"/>
    <n v="1"/>
    <n v="456"/>
    <x v="2"/>
    <x v="0"/>
    <x v="37"/>
    <x v="1"/>
    <x v="0"/>
    <x v="0"/>
    <x v="2"/>
    <x v="2"/>
    <x v="330"/>
    <x v="336"/>
    <x v="1"/>
    <s v="Y"/>
    <s v="No"/>
    <x v="4"/>
    <x v="0"/>
    <n v="3"/>
    <x v="0"/>
    <n v="3"/>
    <x v="1"/>
    <n v="2"/>
    <x v="1"/>
    <x v="1"/>
    <x v="5"/>
    <x v="1"/>
    <x v="3"/>
  </r>
  <r>
    <x v="4"/>
    <x v="1"/>
    <s v="Travel_Rarely"/>
    <n v="1130"/>
    <x v="0"/>
    <n v="8"/>
    <n v="4"/>
    <s v="Marketing"/>
    <n v="1"/>
    <n v="458"/>
    <x v="0"/>
    <x v="0"/>
    <x v="3"/>
    <x v="0"/>
    <x v="0"/>
    <x v="0"/>
    <x v="1"/>
    <x v="1"/>
    <x v="331"/>
    <x v="337"/>
    <x v="1"/>
    <s v="Y"/>
    <s v="No"/>
    <x v="11"/>
    <x v="0"/>
    <n v="1"/>
    <x v="0"/>
    <n v="1"/>
    <x v="0"/>
    <n v="3"/>
    <x v="1"/>
    <x v="3"/>
    <x v="1"/>
    <x v="0"/>
    <x v="1"/>
  </r>
  <r>
    <x v="2"/>
    <x v="1"/>
    <s v="Travel_Rarely"/>
    <n v="1192"/>
    <x v="1"/>
    <n v="5"/>
    <n v="2"/>
    <s v="Medical"/>
    <n v="1"/>
    <n v="460"/>
    <x v="2"/>
    <x v="1"/>
    <x v="1"/>
    <x v="0"/>
    <x v="0"/>
    <x v="3"/>
    <x v="0"/>
    <x v="2"/>
    <x v="136"/>
    <x v="338"/>
    <x v="8"/>
    <s v="Y"/>
    <s v="No"/>
    <x v="10"/>
    <x v="0"/>
    <n v="3"/>
    <x v="0"/>
    <n v="2"/>
    <x v="0"/>
    <n v="2"/>
    <x v="2"/>
    <x v="0"/>
    <x v="3"/>
    <x v="0"/>
    <x v="10"/>
  </r>
  <r>
    <x v="8"/>
    <x v="1"/>
    <s v="Travel_Rarely"/>
    <n v="343"/>
    <x v="1"/>
    <n v="15"/>
    <n v="2"/>
    <s v="Life Sciences"/>
    <n v="1"/>
    <n v="461"/>
    <x v="1"/>
    <x v="1"/>
    <x v="2"/>
    <x v="1"/>
    <x v="2"/>
    <x v="7"/>
    <x v="0"/>
    <x v="2"/>
    <x v="332"/>
    <x v="339"/>
    <x v="4"/>
    <s v="Y"/>
    <s v="Yes"/>
    <x v="9"/>
    <x v="0"/>
    <n v="2"/>
    <x v="0"/>
    <n v="1"/>
    <x v="4"/>
    <n v="3"/>
    <x v="1"/>
    <x v="19"/>
    <x v="15"/>
    <x v="3"/>
    <x v="12"/>
  </r>
  <r>
    <x v="12"/>
    <x v="1"/>
    <s v="Travel_Rarely"/>
    <n v="1232"/>
    <x v="1"/>
    <n v="7"/>
    <n v="4"/>
    <s v="Medical"/>
    <n v="1"/>
    <n v="462"/>
    <x v="1"/>
    <x v="0"/>
    <x v="56"/>
    <x v="0"/>
    <x v="2"/>
    <x v="3"/>
    <x v="0"/>
    <x v="0"/>
    <x v="333"/>
    <x v="340"/>
    <x v="1"/>
    <s v="Y"/>
    <s v="Yes"/>
    <x v="9"/>
    <x v="0"/>
    <n v="3"/>
    <x v="0"/>
    <n v="0"/>
    <x v="27"/>
    <n v="2"/>
    <x v="2"/>
    <x v="19"/>
    <x v="5"/>
    <x v="5"/>
    <x v="13"/>
  </r>
  <r>
    <x v="11"/>
    <x v="1"/>
    <s v="Travel_Rarely"/>
    <n v="144"/>
    <x v="0"/>
    <n v="10"/>
    <n v="1"/>
    <s v="Marketing"/>
    <n v="1"/>
    <n v="463"/>
    <x v="2"/>
    <x v="0"/>
    <x v="56"/>
    <x v="1"/>
    <x v="0"/>
    <x v="0"/>
    <x v="1"/>
    <x v="2"/>
    <x v="334"/>
    <x v="341"/>
    <x v="1"/>
    <s v="Y"/>
    <s v="Yes"/>
    <x v="9"/>
    <x v="0"/>
    <n v="1"/>
    <x v="0"/>
    <n v="2"/>
    <x v="2"/>
    <n v="2"/>
    <x v="1"/>
    <x v="5"/>
    <x v="1"/>
    <x v="1"/>
    <x v="1"/>
  </r>
  <r>
    <x v="10"/>
    <x v="1"/>
    <s v="Travel_Rarely"/>
    <n v="1296"/>
    <x v="1"/>
    <n v="5"/>
    <n v="4"/>
    <s v="Technical Degree"/>
    <n v="1"/>
    <n v="464"/>
    <x v="1"/>
    <x v="1"/>
    <x v="50"/>
    <x v="0"/>
    <x v="2"/>
    <x v="3"/>
    <x v="1"/>
    <x v="0"/>
    <x v="335"/>
    <x v="342"/>
    <x v="4"/>
    <s v="Y"/>
    <s v="No"/>
    <x v="4"/>
    <x v="0"/>
    <n v="4"/>
    <x v="0"/>
    <n v="0"/>
    <x v="6"/>
    <n v="5"/>
    <x v="1"/>
    <x v="22"/>
    <x v="8"/>
    <x v="0"/>
    <x v="15"/>
  </r>
  <r>
    <x v="30"/>
    <x v="1"/>
    <s v="Travel_Rarely"/>
    <n v="1309"/>
    <x v="1"/>
    <n v="26"/>
    <n v="1"/>
    <s v="Life Sciences"/>
    <n v="1"/>
    <n v="465"/>
    <x v="1"/>
    <x v="1"/>
    <x v="21"/>
    <x v="0"/>
    <x v="1"/>
    <x v="1"/>
    <x v="0"/>
    <x v="2"/>
    <x v="336"/>
    <x v="343"/>
    <x v="1"/>
    <s v="Y"/>
    <s v="No"/>
    <x v="3"/>
    <x v="0"/>
    <n v="3"/>
    <x v="0"/>
    <n v="2"/>
    <x v="21"/>
    <n v="2"/>
    <x v="2"/>
    <x v="9"/>
    <x v="3"/>
    <x v="0"/>
    <x v="3"/>
  </r>
  <r>
    <x v="0"/>
    <x v="1"/>
    <s v="Travel_Rarely"/>
    <n v="483"/>
    <x v="1"/>
    <n v="6"/>
    <n v="3"/>
    <s v="Medical"/>
    <n v="1"/>
    <n v="466"/>
    <x v="2"/>
    <x v="1"/>
    <x v="41"/>
    <x v="1"/>
    <x v="0"/>
    <x v="3"/>
    <x v="1"/>
    <x v="0"/>
    <x v="337"/>
    <x v="344"/>
    <x v="2"/>
    <s v="Y"/>
    <s v="Yes"/>
    <x v="2"/>
    <x v="0"/>
    <n v="4"/>
    <x v="0"/>
    <n v="0"/>
    <x v="0"/>
    <n v="3"/>
    <x v="1"/>
    <x v="8"/>
    <x v="0"/>
    <x v="1"/>
    <x v="3"/>
  </r>
  <r>
    <x v="40"/>
    <x v="1"/>
    <s v="Travel_Frequently"/>
    <n v="1309"/>
    <x v="0"/>
    <n v="4"/>
    <n v="1"/>
    <s v="Medical"/>
    <n v="1"/>
    <n v="467"/>
    <x v="0"/>
    <x v="1"/>
    <x v="39"/>
    <x v="0"/>
    <x v="0"/>
    <x v="6"/>
    <x v="2"/>
    <x v="0"/>
    <x v="338"/>
    <x v="345"/>
    <x v="9"/>
    <s v="Y"/>
    <s v="No"/>
    <x v="12"/>
    <x v="0"/>
    <n v="1"/>
    <x v="0"/>
    <n v="0"/>
    <x v="7"/>
    <n v="3"/>
    <x v="1"/>
    <x v="2"/>
    <x v="2"/>
    <x v="0"/>
    <x v="2"/>
  </r>
  <r>
    <x v="19"/>
    <x v="1"/>
    <s v="Travel_Rarely"/>
    <n v="810"/>
    <x v="1"/>
    <n v="23"/>
    <n v="5"/>
    <s v="Life Sciences"/>
    <n v="1"/>
    <n v="468"/>
    <x v="3"/>
    <x v="0"/>
    <x v="8"/>
    <x v="0"/>
    <x v="3"/>
    <x v="7"/>
    <x v="0"/>
    <x v="0"/>
    <x v="339"/>
    <x v="346"/>
    <x v="7"/>
    <s v="Y"/>
    <s v="No"/>
    <x v="9"/>
    <x v="0"/>
    <n v="2"/>
    <x v="0"/>
    <n v="0"/>
    <x v="28"/>
    <n v="2"/>
    <x v="1"/>
    <x v="6"/>
    <x v="2"/>
    <x v="0"/>
    <x v="2"/>
  </r>
  <r>
    <x v="11"/>
    <x v="1"/>
    <s v="Non-Travel"/>
    <n v="746"/>
    <x v="0"/>
    <n v="2"/>
    <n v="3"/>
    <s v="Life Sciences"/>
    <n v="1"/>
    <n v="469"/>
    <x v="2"/>
    <x v="1"/>
    <x v="1"/>
    <x v="0"/>
    <x v="0"/>
    <x v="0"/>
    <x v="2"/>
    <x v="1"/>
    <x v="340"/>
    <x v="347"/>
    <x v="1"/>
    <s v="Y"/>
    <s v="No"/>
    <x v="9"/>
    <x v="0"/>
    <n v="1"/>
    <x v="0"/>
    <n v="1"/>
    <x v="21"/>
    <n v="3"/>
    <x v="2"/>
    <x v="9"/>
    <x v="7"/>
    <x v="0"/>
    <x v="3"/>
  </r>
  <r>
    <x v="19"/>
    <x v="1"/>
    <s v="Travel_Rarely"/>
    <n v="544"/>
    <x v="2"/>
    <n v="2"/>
    <n v="1"/>
    <s v="Technical Degree"/>
    <n v="1"/>
    <n v="470"/>
    <x v="1"/>
    <x v="1"/>
    <x v="48"/>
    <x v="0"/>
    <x v="1"/>
    <x v="8"/>
    <x v="2"/>
    <x v="2"/>
    <x v="341"/>
    <x v="348"/>
    <x v="4"/>
    <s v="Y"/>
    <s v="Yes"/>
    <x v="0"/>
    <x v="0"/>
    <n v="3"/>
    <x v="0"/>
    <n v="1"/>
    <x v="21"/>
    <n v="5"/>
    <x v="1"/>
    <x v="11"/>
    <x v="3"/>
    <x v="1"/>
    <x v="2"/>
  </r>
  <r>
    <x v="5"/>
    <x v="1"/>
    <s v="Travel_Rarely"/>
    <n v="1062"/>
    <x v="1"/>
    <n v="2"/>
    <n v="3"/>
    <s v="Medical"/>
    <n v="1"/>
    <n v="471"/>
    <x v="1"/>
    <x v="0"/>
    <x v="29"/>
    <x v="0"/>
    <x v="1"/>
    <x v="2"/>
    <x v="1"/>
    <x v="1"/>
    <x v="342"/>
    <x v="349"/>
    <x v="1"/>
    <s v="Y"/>
    <s v="No"/>
    <x v="4"/>
    <x v="0"/>
    <n v="3"/>
    <x v="0"/>
    <n v="1"/>
    <x v="0"/>
    <n v="4"/>
    <x v="1"/>
    <x v="3"/>
    <x v="2"/>
    <x v="0"/>
    <x v="1"/>
  </r>
  <r>
    <x v="26"/>
    <x v="1"/>
    <s v="Travel_Rarely"/>
    <n v="530"/>
    <x v="0"/>
    <n v="29"/>
    <n v="1"/>
    <s v="Medical"/>
    <n v="1"/>
    <n v="473"/>
    <x v="3"/>
    <x v="0"/>
    <x v="59"/>
    <x v="0"/>
    <x v="2"/>
    <x v="5"/>
    <x v="2"/>
    <x v="1"/>
    <x v="343"/>
    <x v="350"/>
    <x v="9"/>
    <s v="Y"/>
    <s v="No"/>
    <x v="7"/>
    <x v="1"/>
    <n v="2"/>
    <x v="0"/>
    <n v="1"/>
    <x v="20"/>
    <n v="3"/>
    <x v="0"/>
    <x v="2"/>
    <x v="2"/>
    <x v="0"/>
    <x v="2"/>
  </r>
  <r>
    <x v="2"/>
    <x v="1"/>
    <s v="Travel_Rarely"/>
    <n v="1319"/>
    <x v="1"/>
    <n v="6"/>
    <n v="3"/>
    <s v="Medical"/>
    <n v="1"/>
    <n v="474"/>
    <x v="1"/>
    <x v="1"/>
    <x v="14"/>
    <x v="2"/>
    <x v="0"/>
    <x v="1"/>
    <x v="3"/>
    <x v="2"/>
    <x v="344"/>
    <x v="351"/>
    <x v="5"/>
    <s v="Y"/>
    <s v="Yes"/>
    <x v="4"/>
    <x v="0"/>
    <n v="1"/>
    <x v="0"/>
    <n v="2"/>
    <x v="10"/>
    <n v="2"/>
    <x v="1"/>
    <x v="5"/>
    <x v="1"/>
    <x v="7"/>
    <x v="1"/>
  </r>
  <r>
    <x v="7"/>
    <x v="1"/>
    <s v="Non-Travel"/>
    <n v="641"/>
    <x v="0"/>
    <n v="25"/>
    <n v="2"/>
    <s v="Technical Degree"/>
    <n v="1"/>
    <n v="475"/>
    <x v="2"/>
    <x v="0"/>
    <x v="65"/>
    <x v="0"/>
    <x v="0"/>
    <x v="0"/>
    <x v="2"/>
    <x v="1"/>
    <x v="345"/>
    <x v="352"/>
    <x v="8"/>
    <s v="Y"/>
    <s v="Yes"/>
    <x v="3"/>
    <x v="0"/>
    <n v="2"/>
    <x v="0"/>
    <n v="1"/>
    <x v="21"/>
    <n v="2"/>
    <x v="3"/>
    <x v="4"/>
    <x v="3"/>
    <x v="3"/>
    <x v="3"/>
  </r>
  <r>
    <x v="25"/>
    <x v="1"/>
    <s v="Travel_Rarely"/>
    <n v="933"/>
    <x v="0"/>
    <n v="1"/>
    <n v="3"/>
    <s v="Life Sciences"/>
    <n v="1"/>
    <n v="476"/>
    <x v="1"/>
    <x v="1"/>
    <x v="42"/>
    <x v="0"/>
    <x v="0"/>
    <x v="0"/>
    <x v="2"/>
    <x v="1"/>
    <x v="346"/>
    <x v="353"/>
    <x v="1"/>
    <s v="Y"/>
    <s v="No"/>
    <x v="8"/>
    <x v="0"/>
    <n v="2"/>
    <x v="0"/>
    <n v="1"/>
    <x v="0"/>
    <n v="3"/>
    <x v="1"/>
    <x v="3"/>
    <x v="1"/>
    <x v="4"/>
    <x v="1"/>
  </r>
  <r>
    <x v="19"/>
    <x v="1"/>
    <s v="Travel_Rarely"/>
    <n v="1332"/>
    <x v="1"/>
    <n v="2"/>
    <n v="4"/>
    <s v="Other"/>
    <n v="1"/>
    <n v="477"/>
    <x v="3"/>
    <x v="1"/>
    <x v="33"/>
    <x v="1"/>
    <x v="0"/>
    <x v="4"/>
    <x v="0"/>
    <x v="0"/>
    <x v="347"/>
    <x v="354"/>
    <x v="9"/>
    <s v="Y"/>
    <s v="No"/>
    <x v="1"/>
    <x v="1"/>
    <n v="2"/>
    <x v="0"/>
    <n v="0"/>
    <x v="19"/>
    <n v="6"/>
    <x v="1"/>
    <x v="6"/>
    <x v="2"/>
    <x v="0"/>
    <x v="2"/>
  </r>
  <r>
    <x v="18"/>
    <x v="0"/>
    <s v="Travel_Frequently"/>
    <n v="756"/>
    <x v="0"/>
    <n v="1"/>
    <n v="1"/>
    <s v="Technical Degree"/>
    <n v="1"/>
    <n v="478"/>
    <x v="3"/>
    <x v="0"/>
    <x v="39"/>
    <x v="1"/>
    <x v="1"/>
    <x v="6"/>
    <x v="1"/>
    <x v="0"/>
    <x v="348"/>
    <x v="355"/>
    <x v="1"/>
    <s v="Y"/>
    <s v="Yes"/>
    <x v="0"/>
    <x v="0"/>
    <n v="3"/>
    <x v="0"/>
    <n v="0"/>
    <x v="8"/>
    <n v="3"/>
    <x v="1"/>
    <x v="11"/>
    <x v="3"/>
    <x v="1"/>
    <x v="3"/>
  </r>
  <r>
    <x v="9"/>
    <x v="1"/>
    <s v="Non-Travel"/>
    <n v="845"/>
    <x v="0"/>
    <n v="1"/>
    <n v="5"/>
    <s v="Medical"/>
    <n v="1"/>
    <n v="479"/>
    <x v="2"/>
    <x v="0"/>
    <x v="18"/>
    <x v="0"/>
    <x v="0"/>
    <x v="0"/>
    <x v="0"/>
    <x v="0"/>
    <x v="349"/>
    <x v="356"/>
    <x v="5"/>
    <s v="Y"/>
    <s v="No"/>
    <x v="2"/>
    <x v="0"/>
    <n v="2"/>
    <x v="0"/>
    <n v="0"/>
    <x v="2"/>
    <n v="6"/>
    <x v="1"/>
    <x v="6"/>
    <x v="2"/>
    <x v="0"/>
    <x v="2"/>
  </r>
  <r>
    <x v="9"/>
    <x v="1"/>
    <s v="Travel_Frequently"/>
    <n v="541"/>
    <x v="0"/>
    <n v="3"/>
    <n v="4"/>
    <s v="Medical"/>
    <n v="1"/>
    <n v="481"/>
    <x v="3"/>
    <x v="1"/>
    <x v="24"/>
    <x v="1"/>
    <x v="2"/>
    <x v="0"/>
    <x v="0"/>
    <x v="1"/>
    <x v="350"/>
    <x v="357"/>
    <x v="5"/>
    <s v="Y"/>
    <s v="No"/>
    <x v="0"/>
    <x v="0"/>
    <n v="1"/>
    <x v="0"/>
    <n v="1"/>
    <x v="28"/>
    <n v="2"/>
    <x v="1"/>
    <x v="20"/>
    <x v="5"/>
    <x v="1"/>
    <x v="11"/>
  </r>
  <r>
    <x v="38"/>
    <x v="1"/>
    <s v="Travel_Rarely"/>
    <n v="593"/>
    <x v="1"/>
    <n v="1"/>
    <n v="4"/>
    <s v="Medical"/>
    <n v="1"/>
    <n v="482"/>
    <x v="2"/>
    <x v="1"/>
    <x v="64"/>
    <x v="0"/>
    <x v="0"/>
    <x v="4"/>
    <x v="2"/>
    <x v="1"/>
    <x v="351"/>
    <x v="358"/>
    <x v="7"/>
    <s v="Y"/>
    <s v="No"/>
    <x v="0"/>
    <x v="0"/>
    <n v="3"/>
    <x v="0"/>
    <n v="0"/>
    <x v="20"/>
    <n v="2"/>
    <x v="1"/>
    <x v="11"/>
    <x v="3"/>
    <x v="1"/>
    <x v="3"/>
  </r>
  <r>
    <x v="32"/>
    <x v="1"/>
    <s v="Travel_Rarely"/>
    <n v="1171"/>
    <x v="1"/>
    <n v="10"/>
    <n v="4"/>
    <s v="Life Sciences"/>
    <n v="1"/>
    <n v="483"/>
    <x v="2"/>
    <x v="0"/>
    <x v="55"/>
    <x v="2"/>
    <x v="1"/>
    <x v="2"/>
    <x v="2"/>
    <x v="1"/>
    <x v="352"/>
    <x v="359"/>
    <x v="9"/>
    <s v="Y"/>
    <s v="Yes"/>
    <x v="4"/>
    <x v="0"/>
    <n v="3"/>
    <x v="0"/>
    <n v="1"/>
    <x v="1"/>
    <n v="3"/>
    <x v="1"/>
    <x v="5"/>
    <x v="1"/>
    <x v="1"/>
    <x v="1"/>
  </r>
  <r>
    <x v="18"/>
    <x v="1"/>
    <s v="Non-Travel"/>
    <n v="895"/>
    <x v="0"/>
    <n v="9"/>
    <n v="2"/>
    <s v="Medical"/>
    <n v="1"/>
    <n v="484"/>
    <x v="3"/>
    <x v="1"/>
    <x v="56"/>
    <x v="0"/>
    <x v="1"/>
    <x v="6"/>
    <x v="0"/>
    <x v="0"/>
    <x v="353"/>
    <x v="360"/>
    <x v="1"/>
    <s v="Y"/>
    <s v="No"/>
    <x v="13"/>
    <x v="1"/>
    <n v="3"/>
    <x v="0"/>
    <n v="0"/>
    <x v="8"/>
    <n v="3"/>
    <x v="2"/>
    <x v="11"/>
    <x v="3"/>
    <x v="3"/>
    <x v="3"/>
  </r>
  <r>
    <x v="3"/>
    <x v="0"/>
    <s v="Travel_Rarely"/>
    <n v="350"/>
    <x v="0"/>
    <n v="5"/>
    <n v="3"/>
    <s v="Marketing"/>
    <n v="1"/>
    <n v="485"/>
    <x v="2"/>
    <x v="0"/>
    <x v="61"/>
    <x v="0"/>
    <x v="1"/>
    <x v="6"/>
    <x v="2"/>
    <x v="0"/>
    <x v="354"/>
    <x v="355"/>
    <x v="1"/>
    <s v="Y"/>
    <s v="Yes"/>
    <x v="4"/>
    <x v="0"/>
    <n v="2"/>
    <x v="0"/>
    <n v="0"/>
    <x v="5"/>
    <n v="2"/>
    <x v="1"/>
    <x v="6"/>
    <x v="2"/>
    <x v="0"/>
    <x v="2"/>
  </r>
  <r>
    <x v="2"/>
    <x v="1"/>
    <s v="Travel_Rarely"/>
    <n v="921"/>
    <x v="1"/>
    <n v="10"/>
    <n v="3"/>
    <s v="Medical"/>
    <n v="1"/>
    <n v="486"/>
    <x v="1"/>
    <x v="0"/>
    <x v="33"/>
    <x v="0"/>
    <x v="1"/>
    <x v="2"/>
    <x v="3"/>
    <x v="1"/>
    <x v="138"/>
    <x v="361"/>
    <x v="2"/>
    <s v="Y"/>
    <s v="No"/>
    <x v="5"/>
    <x v="1"/>
    <n v="2"/>
    <x v="0"/>
    <n v="1"/>
    <x v="6"/>
    <n v="3"/>
    <x v="1"/>
    <x v="8"/>
    <x v="0"/>
    <x v="0"/>
    <x v="6"/>
  </r>
  <r>
    <x v="21"/>
    <x v="1"/>
    <s v="Non-Travel"/>
    <n v="1144"/>
    <x v="1"/>
    <n v="7"/>
    <n v="4"/>
    <s v="Medical"/>
    <n v="1"/>
    <n v="487"/>
    <x v="1"/>
    <x v="0"/>
    <x v="37"/>
    <x v="0"/>
    <x v="0"/>
    <x v="3"/>
    <x v="2"/>
    <x v="1"/>
    <x v="355"/>
    <x v="362"/>
    <x v="7"/>
    <s v="Y"/>
    <s v="No"/>
    <x v="9"/>
    <x v="0"/>
    <n v="3"/>
    <x v="0"/>
    <n v="0"/>
    <x v="2"/>
    <n v="2"/>
    <x v="3"/>
    <x v="6"/>
    <x v="2"/>
    <x v="0"/>
    <x v="2"/>
  </r>
  <r>
    <x v="0"/>
    <x v="0"/>
    <s v="Travel_Frequently"/>
    <n v="143"/>
    <x v="0"/>
    <n v="4"/>
    <n v="3"/>
    <s v="Marketing"/>
    <n v="1"/>
    <n v="488"/>
    <x v="3"/>
    <x v="1"/>
    <x v="3"/>
    <x v="0"/>
    <x v="0"/>
    <x v="0"/>
    <x v="1"/>
    <x v="0"/>
    <x v="356"/>
    <x v="363"/>
    <x v="1"/>
    <s v="Y"/>
    <s v="No"/>
    <x v="11"/>
    <x v="0"/>
    <n v="3"/>
    <x v="0"/>
    <n v="0"/>
    <x v="0"/>
    <n v="5"/>
    <x v="1"/>
    <x v="3"/>
    <x v="1"/>
    <x v="4"/>
    <x v="1"/>
  </r>
  <r>
    <x v="24"/>
    <x v="1"/>
    <s v="Travel_Rarely"/>
    <n v="1046"/>
    <x v="1"/>
    <n v="10"/>
    <n v="3"/>
    <s v="Technical Degree"/>
    <n v="1"/>
    <n v="491"/>
    <x v="2"/>
    <x v="1"/>
    <x v="54"/>
    <x v="1"/>
    <x v="2"/>
    <x v="4"/>
    <x v="0"/>
    <x v="0"/>
    <x v="357"/>
    <x v="364"/>
    <x v="2"/>
    <s v="Y"/>
    <s v="No"/>
    <x v="2"/>
    <x v="0"/>
    <n v="4"/>
    <x v="0"/>
    <n v="0"/>
    <x v="26"/>
    <n v="2"/>
    <x v="1"/>
    <x v="9"/>
    <x v="7"/>
    <x v="1"/>
    <x v="6"/>
  </r>
  <r>
    <x v="32"/>
    <x v="0"/>
    <s v="Travel_Rarely"/>
    <n v="575"/>
    <x v="0"/>
    <n v="22"/>
    <n v="2"/>
    <s v="Marketing"/>
    <n v="1"/>
    <n v="492"/>
    <x v="1"/>
    <x v="1"/>
    <x v="67"/>
    <x v="1"/>
    <x v="0"/>
    <x v="0"/>
    <x v="2"/>
    <x v="1"/>
    <x v="358"/>
    <x v="365"/>
    <x v="7"/>
    <s v="Y"/>
    <s v="Yes"/>
    <x v="3"/>
    <x v="0"/>
    <n v="1"/>
    <x v="0"/>
    <n v="2"/>
    <x v="0"/>
    <n v="6"/>
    <x v="1"/>
    <x v="0"/>
    <x v="0"/>
    <x v="1"/>
    <x v="2"/>
  </r>
  <r>
    <x v="12"/>
    <x v="1"/>
    <s v="Travel_Rarely"/>
    <n v="408"/>
    <x v="1"/>
    <n v="9"/>
    <n v="4"/>
    <s v="Life Sciences"/>
    <n v="1"/>
    <n v="493"/>
    <x v="1"/>
    <x v="1"/>
    <x v="25"/>
    <x v="1"/>
    <x v="1"/>
    <x v="1"/>
    <x v="1"/>
    <x v="0"/>
    <x v="210"/>
    <x v="366"/>
    <x v="4"/>
    <s v="Y"/>
    <s v="Yes"/>
    <x v="10"/>
    <x v="0"/>
    <n v="4"/>
    <x v="0"/>
    <n v="0"/>
    <x v="8"/>
    <n v="5"/>
    <x v="1"/>
    <x v="4"/>
    <x v="3"/>
    <x v="3"/>
    <x v="3"/>
  </r>
  <r>
    <x v="18"/>
    <x v="0"/>
    <s v="Travel_Rarely"/>
    <n v="156"/>
    <x v="0"/>
    <n v="12"/>
    <n v="3"/>
    <s v="Life Sciences"/>
    <n v="1"/>
    <n v="494"/>
    <x v="1"/>
    <x v="0"/>
    <x v="62"/>
    <x v="2"/>
    <x v="1"/>
    <x v="6"/>
    <x v="1"/>
    <x v="0"/>
    <x v="359"/>
    <x v="367"/>
    <x v="1"/>
    <s v="Y"/>
    <s v="No"/>
    <x v="2"/>
    <x v="0"/>
    <n v="4"/>
    <x v="0"/>
    <n v="0"/>
    <x v="5"/>
    <n v="0"/>
    <x v="1"/>
    <x v="6"/>
    <x v="2"/>
    <x v="0"/>
    <x v="2"/>
  </r>
  <r>
    <x v="11"/>
    <x v="1"/>
    <s v="Travel_Rarely"/>
    <n v="1283"/>
    <x v="1"/>
    <n v="23"/>
    <n v="3"/>
    <s v="Life Sciences"/>
    <n v="1"/>
    <n v="495"/>
    <x v="2"/>
    <x v="1"/>
    <x v="60"/>
    <x v="0"/>
    <x v="1"/>
    <x v="1"/>
    <x v="0"/>
    <x v="0"/>
    <x v="360"/>
    <x v="368"/>
    <x v="3"/>
    <s v="Y"/>
    <s v="No"/>
    <x v="10"/>
    <x v="0"/>
    <n v="4"/>
    <x v="0"/>
    <n v="0"/>
    <x v="3"/>
    <n v="4"/>
    <x v="1"/>
    <x v="11"/>
    <x v="3"/>
    <x v="1"/>
    <x v="3"/>
  </r>
  <r>
    <x v="10"/>
    <x v="1"/>
    <s v="Travel_Rarely"/>
    <n v="755"/>
    <x v="1"/>
    <n v="9"/>
    <n v="4"/>
    <s v="Life Sciences"/>
    <n v="1"/>
    <n v="496"/>
    <x v="1"/>
    <x v="1"/>
    <x v="28"/>
    <x v="1"/>
    <x v="0"/>
    <x v="4"/>
    <x v="1"/>
    <x v="0"/>
    <x v="361"/>
    <x v="369"/>
    <x v="3"/>
    <s v="Y"/>
    <s v="No"/>
    <x v="12"/>
    <x v="0"/>
    <n v="3"/>
    <x v="0"/>
    <n v="0"/>
    <x v="1"/>
    <n v="5"/>
    <x v="1"/>
    <x v="6"/>
    <x v="10"/>
    <x v="0"/>
    <x v="2"/>
  </r>
  <r>
    <x v="4"/>
    <x v="1"/>
    <s v="Travel_Rarely"/>
    <n v="1469"/>
    <x v="1"/>
    <n v="1"/>
    <n v="2"/>
    <s v="Medical"/>
    <n v="1"/>
    <n v="497"/>
    <x v="2"/>
    <x v="1"/>
    <x v="19"/>
    <x v="0"/>
    <x v="1"/>
    <x v="2"/>
    <x v="1"/>
    <x v="2"/>
    <x v="362"/>
    <x v="370"/>
    <x v="1"/>
    <s v="Y"/>
    <s v="No"/>
    <x v="0"/>
    <x v="0"/>
    <n v="2"/>
    <x v="0"/>
    <n v="1"/>
    <x v="7"/>
    <n v="2"/>
    <x v="1"/>
    <x v="8"/>
    <x v="3"/>
    <x v="0"/>
    <x v="10"/>
  </r>
  <r>
    <x v="14"/>
    <x v="1"/>
    <s v="Travel_Rarely"/>
    <n v="304"/>
    <x v="0"/>
    <n v="9"/>
    <n v="4"/>
    <s v="Life Sciences"/>
    <n v="1"/>
    <n v="498"/>
    <x v="0"/>
    <x v="1"/>
    <x v="2"/>
    <x v="0"/>
    <x v="0"/>
    <x v="0"/>
    <x v="0"/>
    <x v="0"/>
    <x v="363"/>
    <x v="371"/>
    <x v="1"/>
    <s v="Y"/>
    <s v="No"/>
    <x v="10"/>
    <x v="0"/>
    <n v="4"/>
    <x v="0"/>
    <n v="0"/>
    <x v="2"/>
    <n v="1"/>
    <x v="1"/>
    <x v="5"/>
    <x v="4"/>
    <x v="0"/>
    <x v="1"/>
  </r>
  <r>
    <x v="1"/>
    <x v="1"/>
    <s v="Travel_Rarely"/>
    <n v="1261"/>
    <x v="1"/>
    <n v="7"/>
    <n v="3"/>
    <s v="Other"/>
    <n v="1"/>
    <n v="499"/>
    <x v="0"/>
    <x v="1"/>
    <x v="11"/>
    <x v="1"/>
    <x v="2"/>
    <x v="4"/>
    <x v="2"/>
    <x v="0"/>
    <x v="364"/>
    <x v="372"/>
    <x v="0"/>
    <s v="Y"/>
    <s v="No"/>
    <x v="13"/>
    <x v="1"/>
    <n v="3"/>
    <x v="0"/>
    <n v="0"/>
    <x v="12"/>
    <n v="2"/>
    <x v="1"/>
    <x v="8"/>
    <x v="3"/>
    <x v="0"/>
    <x v="2"/>
  </r>
  <r>
    <x v="31"/>
    <x v="1"/>
    <s v="Travel_Rarely"/>
    <n v="1178"/>
    <x v="0"/>
    <n v="14"/>
    <n v="2"/>
    <s v="Life Sciences"/>
    <n v="1"/>
    <n v="500"/>
    <x v="1"/>
    <x v="0"/>
    <x v="44"/>
    <x v="0"/>
    <x v="0"/>
    <x v="0"/>
    <x v="0"/>
    <x v="1"/>
    <x v="365"/>
    <x v="373"/>
    <x v="5"/>
    <s v="Y"/>
    <s v="No"/>
    <x v="0"/>
    <x v="0"/>
    <n v="3"/>
    <x v="0"/>
    <n v="1"/>
    <x v="33"/>
    <n v="2"/>
    <x v="2"/>
    <x v="5"/>
    <x v="1"/>
    <x v="0"/>
    <x v="1"/>
  </r>
  <r>
    <x v="9"/>
    <x v="1"/>
    <s v="Travel_Rarely"/>
    <n v="329"/>
    <x v="1"/>
    <n v="2"/>
    <n v="3"/>
    <s v="Life Sciences"/>
    <n v="1"/>
    <n v="501"/>
    <x v="2"/>
    <x v="0"/>
    <x v="16"/>
    <x v="0"/>
    <x v="1"/>
    <x v="1"/>
    <x v="2"/>
    <x v="1"/>
    <x v="366"/>
    <x v="374"/>
    <x v="5"/>
    <s v="Y"/>
    <s v="No"/>
    <x v="4"/>
    <x v="0"/>
    <n v="2"/>
    <x v="0"/>
    <n v="1"/>
    <x v="3"/>
    <n v="3"/>
    <x v="1"/>
    <x v="4"/>
    <x v="3"/>
    <x v="3"/>
    <x v="3"/>
  </r>
  <r>
    <x v="13"/>
    <x v="0"/>
    <s v="Non-Travel"/>
    <n v="1362"/>
    <x v="0"/>
    <n v="19"/>
    <n v="3"/>
    <s v="Marketing"/>
    <n v="1"/>
    <n v="502"/>
    <x v="3"/>
    <x v="1"/>
    <x v="7"/>
    <x v="2"/>
    <x v="0"/>
    <x v="0"/>
    <x v="0"/>
    <x v="0"/>
    <x v="367"/>
    <x v="375"/>
    <x v="0"/>
    <s v="Y"/>
    <s v="Yes"/>
    <x v="4"/>
    <x v="0"/>
    <n v="2"/>
    <x v="0"/>
    <n v="0"/>
    <x v="15"/>
    <n v="3"/>
    <x v="2"/>
    <x v="8"/>
    <x v="3"/>
    <x v="0"/>
    <x v="10"/>
  </r>
  <r>
    <x v="27"/>
    <x v="1"/>
    <s v="Travel_Rarely"/>
    <n v="1311"/>
    <x v="1"/>
    <n v="2"/>
    <n v="3"/>
    <s v="Life Sciences"/>
    <n v="1"/>
    <n v="505"/>
    <x v="1"/>
    <x v="0"/>
    <x v="28"/>
    <x v="0"/>
    <x v="3"/>
    <x v="5"/>
    <x v="0"/>
    <x v="0"/>
    <x v="368"/>
    <x v="376"/>
    <x v="7"/>
    <s v="Y"/>
    <s v="Yes"/>
    <x v="4"/>
    <x v="0"/>
    <n v="3"/>
    <x v="0"/>
    <n v="0"/>
    <x v="31"/>
    <n v="2"/>
    <x v="1"/>
    <x v="8"/>
    <x v="0"/>
    <x v="1"/>
    <x v="3"/>
  </r>
  <r>
    <x v="17"/>
    <x v="1"/>
    <s v="Travel_Rarely"/>
    <n v="1371"/>
    <x v="0"/>
    <n v="10"/>
    <n v="4"/>
    <s v="Marketing"/>
    <n v="1"/>
    <n v="507"/>
    <x v="2"/>
    <x v="0"/>
    <x v="57"/>
    <x v="0"/>
    <x v="0"/>
    <x v="0"/>
    <x v="2"/>
    <x v="2"/>
    <x v="369"/>
    <x v="377"/>
    <x v="1"/>
    <s v="Y"/>
    <s v="Yes"/>
    <x v="3"/>
    <x v="0"/>
    <n v="4"/>
    <x v="0"/>
    <n v="1"/>
    <x v="7"/>
    <n v="2"/>
    <x v="3"/>
    <x v="8"/>
    <x v="3"/>
    <x v="0"/>
    <x v="6"/>
  </r>
  <r>
    <x v="7"/>
    <x v="1"/>
    <s v="Travel_Rarely"/>
    <n v="202"/>
    <x v="0"/>
    <n v="2"/>
    <n v="1"/>
    <s v="Technical Degree"/>
    <n v="1"/>
    <n v="508"/>
    <x v="1"/>
    <x v="1"/>
    <x v="23"/>
    <x v="0"/>
    <x v="1"/>
    <x v="6"/>
    <x v="1"/>
    <x v="1"/>
    <x v="370"/>
    <x v="378"/>
    <x v="1"/>
    <s v="Y"/>
    <s v="No"/>
    <x v="11"/>
    <x v="0"/>
    <n v="1"/>
    <x v="0"/>
    <n v="1"/>
    <x v="5"/>
    <n v="3"/>
    <x v="1"/>
    <x v="6"/>
    <x v="2"/>
    <x v="0"/>
    <x v="2"/>
  </r>
  <r>
    <x v="25"/>
    <x v="0"/>
    <s v="Travel_Frequently"/>
    <n v="575"/>
    <x v="1"/>
    <n v="3"/>
    <n v="1"/>
    <s v="Technical Degree"/>
    <n v="1"/>
    <n v="510"/>
    <x v="1"/>
    <x v="1"/>
    <x v="32"/>
    <x v="0"/>
    <x v="1"/>
    <x v="1"/>
    <x v="3"/>
    <x v="0"/>
    <x v="371"/>
    <x v="379"/>
    <x v="4"/>
    <s v="Y"/>
    <s v="No"/>
    <x v="6"/>
    <x v="1"/>
    <n v="3"/>
    <x v="0"/>
    <n v="0"/>
    <x v="2"/>
    <n v="2"/>
    <x v="1"/>
    <x v="0"/>
    <x v="0"/>
    <x v="0"/>
    <x v="10"/>
  </r>
  <r>
    <x v="15"/>
    <x v="1"/>
    <s v="Travel_Rarely"/>
    <n v="253"/>
    <x v="1"/>
    <n v="11"/>
    <n v="3"/>
    <s v="Medical"/>
    <n v="1"/>
    <n v="511"/>
    <x v="3"/>
    <x v="0"/>
    <x v="38"/>
    <x v="0"/>
    <x v="1"/>
    <x v="1"/>
    <x v="1"/>
    <x v="1"/>
    <x v="372"/>
    <x v="380"/>
    <x v="1"/>
    <s v="Y"/>
    <s v="No"/>
    <x v="4"/>
    <x v="0"/>
    <n v="4"/>
    <x v="0"/>
    <n v="1"/>
    <x v="17"/>
    <n v="1"/>
    <x v="1"/>
    <x v="4"/>
    <x v="10"/>
    <x v="1"/>
    <x v="3"/>
  </r>
  <r>
    <x v="9"/>
    <x v="1"/>
    <s v="Travel_Rarely"/>
    <n v="164"/>
    <x v="0"/>
    <n v="2"/>
    <n v="2"/>
    <s v="Medical"/>
    <n v="1"/>
    <n v="513"/>
    <x v="0"/>
    <x v="1"/>
    <x v="1"/>
    <x v="1"/>
    <x v="2"/>
    <x v="0"/>
    <x v="2"/>
    <x v="1"/>
    <x v="373"/>
    <x v="381"/>
    <x v="1"/>
    <s v="Y"/>
    <s v="No"/>
    <x v="4"/>
    <x v="0"/>
    <n v="2"/>
    <x v="0"/>
    <n v="2"/>
    <x v="1"/>
    <n v="2"/>
    <x v="1"/>
    <x v="1"/>
    <x v="5"/>
    <x v="10"/>
    <x v="2"/>
  </r>
  <r>
    <x v="7"/>
    <x v="0"/>
    <s v="Travel_Frequently"/>
    <n v="464"/>
    <x v="1"/>
    <n v="4"/>
    <n v="3"/>
    <s v="Technical Degree"/>
    <n v="1"/>
    <n v="514"/>
    <x v="1"/>
    <x v="1"/>
    <x v="4"/>
    <x v="0"/>
    <x v="1"/>
    <x v="1"/>
    <x v="0"/>
    <x v="0"/>
    <x v="374"/>
    <x v="382"/>
    <x v="3"/>
    <s v="Y"/>
    <s v="Yes"/>
    <x v="1"/>
    <x v="1"/>
    <n v="3"/>
    <x v="0"/>
    <n v="0"/>
    <x v="8"/>
    <n v="4"/>
    <x v="1"/>
    <x v="6"/>
    <x v="2"/>
    <x v="0"/>
    <x v="2"/>
  </r>
  <r>
    <x v="2"/>
    <x v="1"/>
    <s v="Travel_Rarely"/>
    <n v="1107"/>
    <x v="1"/>
    <n v="14"/>
    <n v="3"/>
    <s v="Life Sciences"/>
    <n v="1"/>
    <n v="515"/>
    <x v="2"/>
    <x v="0"/>
    <x v="41"/>
    <x v="0"/>
    <x v="1"/>
    <x v="2"/>
    <x v="3"/>
    <x v="2"/>
    <x v="375"/>
    <x v="383"/>
    <x v="1"/>
    <s v="Y"/>
    <s v="No"/>
    <x v="3"/>
    <x v="0"/>
    <n v="3"/>
    <x v="0"/>
    <n v="1"/>
    <x v="33"/>
    <n v="2"/>
    <x v="2"/>
    <x v="29"/>
    <x v="1"/>
    <x v="12"/>
    <x v="8"/>
  </r>
  <r>
    <x v="32"/>
    <x v="1"/>
    <s v="Travel_Rarely"/>
    <n v="759"/>
    <x v="0"/>
    <n v="2"/>
    <n v="2"/>
    <s v="Marketing"/>
    <n v="1"/>
    <n v="516"/>
    <x v="2"/>
    <x v="0"/>
    <x v="55"/>
    <x v="0"/>
    <x v="0"/>
    <x v="0"/>
    <x v="1"/>
    <x v="2"/>
    <x v="376"/>
    <x v="384"/>
    <x v="8"/>
    <s v="Y"/>
    <s v="No"/>
    <x v="3"/>
    <x v="0"/>
    <n v="3"/>
    <x v="0"/>
    <n v="2"/>
    <x v="0"/>
    <n v="5"/>
    <x v="1"/>
    <x v="8"/>
    <x v="0"/>
    <x v="1"/>
    <x v="6"/>
  </r>
  <r>
    <x v="19"/>
    <x v="1"/>
    <s v="Travel_Rarely"/>
    <n v="201"/>
    <x v="1"/>
    <n v="1"/>
    <n v="4"/>
    <s v="Life Sciences"/>
    <n v="1"/>
    <n v="517"/>
    <x v="0"/>
    <x v="0"/>
    <x v="41"/>
    <x v="0"/>
    <x v="1"/>
    <x v="2"/>
    <x v="3"/>
    <x v="2"/>
    <x v="377"/>
    <x v="385"/>
    <x v="9"/>
    <s v="Y"/>
    <s v="No"/>
    <x v="10"/>
    <x v="0"/>
    <n v="2"/>
    <x v="0"/>
    <n v="1"/>
    <x v="0"/>
    <n v="5"/>
    <x v="1"/>
    <x v="8"/>
    <x v="3"/>
    <x v="1"/>
    <x v="3"/>
  </r>
  <r>
    <x v="2"/>
    <x v="1"/>
    <s v="Travel_Rarely"/>
    <n v="1305"/>
    <x v="1"/>
    <n v="10"/>
    <n v="4"/>
    <s v="Life Sciences"/>
    <n v="1"/>
    <n v="518"/>
    <x v="1"/>
    <x v="1"/>
    <x v="10"/>
    <x v="0"/>
    <x v="0"/>
    <x v="3"/>
    <x v="1"/>
    <x v="0"/>
    <x v="378"/>
    <x v="386"/>
    <x v="7"/>
    <s v="Y"/>
    <s v="Yes"/>
    <x v="3"/>
    <x v="0"/>
    <n v="4"/>
    <x v="0"/>
    <n v="0"/>
    <x v="33"/>
    <n v="2"/>
    <x v="2"/>
    <x v="6"/>
    <x v="2"/>
    <x v="0"/>
    <x v="9"/>
  </r>
  <r>
    <x v="23"/>
    <x v="1"/>
    <s v="Travel_Rarely"/>
    <n v="982"/>
    <x v="1"/>
    <n v="12"/>
    <n v="3"/>
    <s v="Life Sciences"/>
    <n v="1"/>
    <n v="520"/>
    <x v="3"/>
    <x v="1"/>
    <x v="40"/>
    <x v="1"/>
    <x v="3"/>
    <x v="7"/>
    <x v="1"/>
    <x v="2"/>
    <x v="379"/>
    <x v="387"/>
    <x v="1"/>
    <s v="Y"/>
    <s v="No"/>
    <x v="0"/>
    <x v="0"/>
    <n v="3"/>
    <x v="0"/>
    <n v="1"/>
    <x v="25"/>
    <n v="3"/>
    <x v="1"/>
    <x v="10"/>
    <x v="15"/>
    <x v="2"/>
    <x v="12"/>
  </r>
  <r>
    <x v="32"/>
    <x v="1"/>
    <s v="Travel_Rarely"/>
    <n v="555"/>
    <x v="1"/>
    <n v="2"/>
    <n v="3"/>
    <s v="Medical"/>
    <n v="1"/>
    <n v="521"/>
    <x v="0"/>
    <x v="0"/>
    <x v="17"/>
    <x v="1"/>
    <x v="0"/>
    <x v="2"/>
    <x v="2"/>
    <x v="1"/>
    <x v="380"/>
    <x v="388"/>
    <x v="2"/>
    <s v="Y"/>
    <s v="No"/>
    <x v="6"/>
    <x v="1"/>
    <n v="2"/>
    <x v="0"/>
    <n v="1"/>
    <x v="26"/>
    <n v="3"/>
    <x v="1"/>
    <x v="6"/>
    <x v="2"/>
    <x v="0"/>
    <x v="2"/>
  </r>
  <r>
    <x v="33"/>
    <x v="1"/>
    <s v="Travel_Rarely"/>
    <n v="821"/>
    <x v="1"/>
    <n v="5"/>
    <n v="2"/>
    <s v="Medical"/>
    <n v="1"/>
    <n v="522"/>
    <x v="3"/>
    <x v="1"/>
    <x v="27"/>
    <x v="0"/>
    <x v="4"/>
    <x v="7"/>
    <x v="3"/>
    <x v="1"/>
    <x v="381"/>
    <x v="389"/>
    <x v="5"/>
    <s v="Y"/>
    <s v="No"/>
    <x v="0"/>
    <x v="0"/>
    <n v="3"/>
    <x v="0"/>
    <n v="1"/>
    <x v="13"/>
    <n v="4"/>
    <x v="2"/>
    <x v="9"/>
    <x v="3"/>
    <x v="1"/>
    <x v="3"/>
  </r>
  <r>
    <x v="13"/>
    <x v="1"/>
    <s v="Non-Travel"/>
    <n v="1381"/>
    <x v="0"/>
    <n v="4"/>
    <n v="4"/>
    <s v="Marketing"/>
    <n v="1"/>
    <n v="523"/>
    <x v="1"/>
    <x v="0"/>
    <x v="23"/>
    <x v="0"/>
    <x v="0"/>
    <x v="0"/>
    <x v="2"/>
    <x v="1"/>
    <x v="382"/>
    <x v="390"/>
    <x v="3"/>
    <s v="Y"/>
    <s v="No"/>
    <x v="2"/>
    <x v="0"/>
    <n v="1"/>
    <x v="0"/>
    <n v="1"/>
    <x v="3"/>
    <n v="3"/>
    <x v="1"/>
    <x v="11"/>
    <x v="3"/>
    <x v="1"/>
    <x v="3"/>
  </r>
  <r>
    <x v="12"/>
    <x v="1"/>
    <s v="Travel_Rarely"/>
    <n v="480"/>
    <x v="1"/>
    <n v="7"/>
    <n v="2"/>
    <s v="Medical"/>
    <n v="1"/>
    <n v="524"/>
    <x v="0"/>
    <x v="0"/>
    <x v="11"/>
    <x v="0"/>
    <x v="0"/>
    <x v="3"/>
    <x v="3"/>
    <x v="1"/>
    <x v="383"/>
    <x v="391"/>
    <x v="1"/>
    <s v="Y"/>
    <s v="No"/>
    <x v="3"/>
    <x v="0"/>
    <n v="2"/>
    <x v="0"/>
    <n v="1"/>
    <x v="10"/>
    <n v="5"/>
    <x v="0"/>
    <x v="20"/>
    <x v="15"/>
    <x v="2"/>
    <x v="11"/>
  </r>
  <r>
    <x v="23"/>
    <x v="1"/>
    <s v="Travel_Frequently"/>
    <n v="313"/>
    <x v="1"/>
    <n v="21"/>
    <n v="3"/>
    <s v="Medical"/>
    <n v="1"/>
    <n v="525"/>
    <x v="2"/>
    <x v="1"/>
    <x v="1"/>
    <x v="0"/>
    <x v="1"/>
    <x v="2"/>
    <x v="0"/>
    <x v="1"/>
    <x v="384"/>
    <x v="392"/>
    <x v="8"/>
    <s v="Y"/>
    <s v="No"/>
    <x v="5"/>
    <x v="1"/>
    <n v="1"/>
    <x v="0"/>
    <n v="1"/>
    <x v="0"/>
    <n v="1"/>
    <x v="1"/>
    <x v="11"/>
    <x v="3"/>
    <x v="1"/>
    <x v="3"/>
  </r>
  <r>
    <x v="23"/>
    <x v="1"/>
    <s v="Travel_Rarely"/>
    <n v="1473"/>
    <x v="1"/>
    <n v="8"/>
    <n v="4"/>
    <s v="Other"/>
    <n v="1"/>
    <n v="526"/>
    <x v="1"/>
    <x v="0"/>
    <x v="69"/>
    <x v="0"/>
    <x v="0"/>
    <x v="4"/>
    <x v="2"/>
    <x v="2"/>
    <x v="385"/>
    <x v="393"/>
    <x v="5"/>
    <s v="Y"/>
    <s v="Yes"/>
    <x v="9"/>
    <x v="0"/>
    <n v="4"/>
    <x v="0"/>
    <n v="0"/>
    <x v="0"/>
    <n v="3"/>
    <x v="1"/>
    <x v="8"/>
    <x v="3"/>
    <x v="0"/>
    <x v="3"/>
  </r>
  <r>
    <x v="36"/>
    <x v="1"/>
    <s v="Travel_Rarely"/>
    <n v="891"/>
    <x v="0"/>
    <n v="4"/>
    <n v="2"/>
    <s v="Life Sciences"/>
    <n v="1"/>
    <n v="527"/>
    <x v="0"/>
    <x v="0"/>
    <x v="39"/>
    <x v="1"/>
    <x v="0"/>
    <x v="0"/>
    <x v="0"/>
    <x v="0"/>
    <x v="386"/>
    <x v="394"/>
    <x v="1"/>
    <s v="Y"/>
    <s v="Yes"/>
    <x v="0"/>
    <x v="0"/>
    <n v="2"/>
    <x v="0"/>
    <n v="0"/>
    <x v="7"/>
    <n v="3"/>
    <x v="1"/>
    <x v="8"/>
    <x v="0"/>
    <x v="1"/>
    <x v="6"/>
  </r>
  <r>
    <x v="2"/>
    <x v="1"/>
    <s v="Non-Travel"/>
    <n v="1063"/>
    <x v="1"/>
    <n v="25"/>
    <n v="5"/>
    <s v="Medical"/>
    <n v="1"/>
    <n v="529"/>
    <x v="0"/>
    <x v="0"/>
    <x v="23"/>
    <x v="0"/>
    <x v="0"/>
    <x v="1"/>
    <x v="2"/>
    <x v="1"/>
    <x v="387"/>
    <x v="395"/>
    <x v="9"/>
    <s v="Y"/>
    <s v="Yes"/>
    <x v="2"/>
    <x v="0"/>
    <n v="1"/>
    <x v="0"/>
    <n v="2"/>
    <x v="20"/>
    <n v="2"/>
    <x v="1"/>
    <x v="20"/>
    <x v="14"/>
    <x v="13"/>
    <x v="1"/>
  </r>
  <r>
    <x v="12"/>
    <x v="1"/>
    <s v="Travel_Rarely"/>
    <n v="329"/>
    <x v="1"/>
    <n v="1"/>
    <n v="2"/>
    <s v="Life Sciences"/>
    <n v="1"/>
    <n v="530"/>
    <x v="2"/>
    <x v="1"/>
    <x v="33"/>
    <x v="1"/>
    <x v="1"/>
    <x v="2"/>
    <x v="3"/>
    <x v="1"/>
    <x v="388"/>
    <x v="396"/>
    <x v="1"/>
    <s v="Y"/>
    <s v="No"/>
    <x v="3"/>
    <x v="0"/>
    <n v="3"/>
    <x v="0"/>
    <n v="1"/>
    <x v="21"/>
    <n v="3"/>
    <x v="1"/>
    <x v="9"/>
    <x v="3"/>
    <x v="2"/>
    <x v="3"/>
  </r>
  <r>
    <x v="22"/>
    <x v="1"/>
    <s v="Travel_Frequently"/>
    <n v="1218"/>
    <x v="1"/>
    <n v="1"/>
    <n v="1"/>
    <s v="Life Sciences"/>
    <n v="1"/>
    <n v="531"/>
    <x v="0"/>
    <x v="1"/>
    <x v="48"/>
    <x v="0"/>
    <x v="4"/>
    <x v="5"/>
    <x v="2"/>
    <x v="2"/>
    <x v="389"/>
    <x v="397"/>
    <x v="1"/>
    <s v="Y"/>
    <s v="Yes"/>
    <x v="9"/>
    <x v="0"/>
    <n v="3"/>
    <x v="0"/>
    <n v="1"/>
    <x v="24"/>
    <n v="3"/>
    <x v="1"/>
    <x v="17"/>
    <x v="6"/>
    <x v="1"/>
    <x v="4"/>
  </r>
  <r>
    <x v="29"/>
    <x v="1"/>
    <s v="Travel_Frequently"/>
    <n v="906"/>
    <x v="0"/>
    <n v="6"/>
    <n v="3"/>
    <s v="Life Sciences"/>
    <n v="1"/>
    <n v="532"/>
    <x v="1"/>
    <x v="0"/>
    <x v="27"/>
    <x v="2"/>
    <x v="3"/>
    <x v="0"/>
    <x v="3"/>
    <x v="1"/>
    <x v="390"/>
    <x v="398"/>
    <x v="3"/>
    <s v="Y"/>
    <s v="No"/>
    <x v="0"/>
    <x v="0"/>
    <n v="4"/>
    <x v="0"/>
    <n v="3"/>
    <x v="34"/>
    <n v="0"/>
    <x v="2"/>
    <x v="5"/>
    <x v="1"/>
    <x v="4"/>
    <x v="1"/>
  </r>
  <r>
    <x v="7"/>
    <x v="1"/>
    <s v="Travel_Rarely"/>
    <n v="1082"/>
    <x v="0"/>
    <n v="12"/>
    <n v="3"/>
    <s v="Technical Degree"/>
    <n v="1"/>
    <n v="533"/>
    <x v="0"/>
    <x v="0"/>
    <x v="21"/>
    <x v="0"/>
    <x v="0"/>
    <x v="0"/>
    <x v="2"/>
    <x v="0"/>
    <x v="391"/>
    <x v="399"/>
    <x v="4"/>
    <s v="Y"/>
    <s v="No"/>
    <x v="0"/>
    <x v="0"/>
    <n v="2"/>
    <x v="0"/>
    <n v="0"/>
    <x v="3"/>
    <n v="6"/>
    <x v="1"/>
    <x v="8"/>
    <x v="0"/>
    <x v="5"/>
    <x v="10"/>
  </r>
  <r>
    <x v="0"/>
    <x v="1"/>
    <s v="Travel_Rarely"/>
    <n v="645"/>
    <x v="0"/>
    <n v="1"/>
    <n v="3"/>
    <s v="Marketing"/>
    <n v="1"/>
    <n v="534"/>
    <x v="0"/>
    <x v="1"/>
    <x v="10"/>
    <x v="2"/>
    <x v="2"/>
    <x v="0"/>
    <x v="3"/>
    <x v="1"/>
    <x v="392"/>
    <x v="400"/>
    <x v="1"/>
    <s v="Y"/>
    <s v="No"/>
    <x v="10"/>
    <x v="0"/>
    <n v="3"/>
    <x v="0"/>
    <n v="1"/>
    <x v="1"/>
    <n v="2"/>
    <x v="1"/>
    <x v="1"/>
    <x v="1"/>
    <x v="0"/>
    <x v="1"/>
  </r>
  <r>
    <x v="14"/>
    <x v="1"/>
    <s v="Travel_Rarely"/>
    <n v="1300"/>
    <x v="1"/>
    <n v="17"/>
    <n v="2"/>
    <s v="Medical"/>
    <n v="1"/>
    <n v="536"/>
    <x v="1"/>
    <x v="1"/>
    <x v="5"/>
    <x v="0"/>
    <x v="0"/>
    <x v="2"/>
    <x v="3"/>
    <x v="2"/>
    <x v="393"/>
    <x v="401"/>
    <x v="1"/>
    <s v="Y"/>
    <s v="No"/>
    <x v="3"/>
    <x v="0"/>
    <n v="4"/>
    <x v="0"/>
    <n v="1"/>
    <x v="1"/>
    <n v="2"/>
    <x v="1"/>
    <x v="1"/>
    <x v="2"/>
    <x v="1"/>
    <x v="5"/>
  </r>
  <r>
    <x v="36"/>
    <x v="0"/>
    <s v="Travel_Rarely"/>
    <n v="688"/>
    <x v="1"/>
    <n v="3"/>
    <n v="3"/>
    <s v="Medical"/>
    <n v="1"/>
    <n v="538"/>
    <x v="3"/>
    <x v="1"/>
    <x v="59"/>
    <x v="0"/>
    <x v="1"/>
    <x v="2"/>
    <x v="3"/>
    <x v="1"/>
    <x v="394"/>
    <x v="402"/>
    <x v="6"/>
    <s v="Y"/>
    <s v="No"/>
    <x v="4"/>
    <x v="0"/>
    <n v="3"/>
    <x v="0"/>
    <n v="1"/>
    <x v="3"/>
    <n v="5"/>
    <x v="1"/>
    <x v="4"/>
    <x v="3"/>
    <x v="0"/>
    <x v="3"/>
  </r>
  <r>
    <x v="39"/>
    <x v="1"/>
    <s v="Travel_Rarely"/>
    <n v="319"/>
    <x v="1"/>
    <n v="3"/>
    <n v="3"/>
    <s v="Medical"/>
    <n v="1"/>
    <n v="543"/>
    <x v="2"/>
    <x v="1"/>
    <x v="56"/>
    <x v="1"/>
    <x v="2"/>
    <x v="3"/>
    <x v="2"/>
    <x v="1"/>
    <x v="395"/>
    <x v="403"/>
    <x v="7"/>
    <s v="Y"/>
    <s v="Yes"/>
    <x v="9"/>
    <x v="0"/>
    <n v="3"/>
    <x v="0"/>
    <n v="0"/>
    <x v="23"/>
    <n v="4"/>
    <x v="1"/>
    <x v="8"/>
    <x v="0"/>
    <x v="0"/>
    <x v="10"/>
  </r>
  <r>
    <x v="28"/>
    <x v="1"/>
    <s v="Travel_Rarely"/>
    <n v="192"/>
    <x v="1"/>
    <n v="10"/>
    <n v="2"/>
    <s v="Life Sciences"/>
    <n v="1"/>
    <n v="544"/>
    <x v="3"/>
    <x v="1"/>
    <x v="68"/>
    <x v="0"/>
    <x v="1"/>
    <x v="1"/>
    <x v="0"/>
    <x v="1"/>
    <x v="396"/>
    <x v="404"/>
    <x v="9"/>
    <s v="Y"/>
    <s v="No"/>
    <x v="7"/>
    <x v="1"/>
    <n v="4"/>
    <x v="0"/>
    <n v="2"/>
    <x v="0"/>
    <n v="3"/>
    <x v="2"/>
    <x v="4"/>
    <x v="3"/>
    <x v="0"/>
    <x v="3"/>
  </r>
  <r>
    <x v="39"/>
    <x v="1"/>
    <s v="Travel_Rarely"/>
    <n v="1490"/>
    <x v="1"/>
    <n v="4"/>
    <n v="2"/>
    <s v="Life Sciences"/>
    <n v="1"/>
    <n v="546"/>
    <x v="2"/>
    <x v="0"/>
    <x v="37"/>
    <x v="0"/>
    <x v="3"/>
    <x v="5"/>
    <x v="0"/>
    <x v="1"/>
    <x v="397"/>
    <x v="405"/>
    <x v="7"/>
    <s v="Y"/>
    <s v="No"/>
    <x v="4"/>
    <x v="0"/>
    <n v="4"/>
    <x v="0"/>
    <n v="0"/>
    <x v="9"/>
    <n v="2"/>
    <x v="0"/>
    <x v="8"/>
    <x v="3"/>
    <x v="1"/>
    <x v="10"/>
  </r>
  <r>
    <x v="19"/>
    <x v="1"/>
    <s v="Travel_Frequently"/>
    <n v="532"/>
    <x v="1"/>
    <n v="29"/>
    <n v="2"/>
    <s v="Life Sciences"/>
    <n v="1"/>
    <n v="547"/>
    <x v="3"/>
    <x v="0"/>
    <x v="2"/>
    <x v="0"/>
    <x v="0"/>
    <x v="1"/>
    <x v="2"/>
    <x v="2"/>
    <x v="398"/>
    <x v="406"/>
    <x v="7"/>
    <s v="Y"/>
    <s v="No"/>
    <x v="0"/>
    <x v="0"/>
    <n v="2"/>
    <x v="0"/>
    <n v="1"/>
    <x v="16"/>
    <n v="3"/>
    <x v="1"/>
    <x v="8"/>
    <x v="0"/>
    <x v="0"/>
    <x v="3"/>
  </r>
  <r>
    <x v="7"/>
    <x v="1"/>
    <s v="Travel_Rarely"/>
    <n v="317"/>
    <x v="1"/>
    <n v="2"/>
    <n v="3"/>
    <s v="Life Sciences"/>
    <n v="1"/>
    <n v="548"/>
    <x v="1"/>
    <x v="0"/>
    <x v="38"/>
    <x v="3"/>
    <x v="0"/>
    <x v="3"/>
    <x v="0"/>
    <x v="0"/>
    <x v="399"/>
    <x v="407"/>
    <x v="7"/>
    <s v="Y"/>
    <s v="No"/>
    <x v="5"/>
    <x v="1"/>
    <n v="3"/>
    <x v="0"/>
    <n v="0"/>
    <x v="27"/>
    <n v="2"/>
    <x v="1"/>
    <x v="8"/>
    <x v="0"/>
    <x v="0"/>
    <x v="3"/>
  </r>
  <r>
    <x v="42"/>
    <x v="1"/>
    <s v="Travel_Rarely"/>
    <n v="422"/>
    <x v="1"/>
    <n v="7"/>
    <n v="3"/>
    <s v="Life Sciences"/>
    <n v="1"/>
    <n v="549"/>
    <x v="3"/>
    <x v="0"/>
    <x v="26"/>
    <x v="0"/>
    <x v="4"/>
    <x v="5"/>
    <x v="3"/>
    <x v="1"/>
    <x v="400"/>
    <x v="408"/>
    <x v="6"/>
    <s v="Y"/>
    <s v="No"/>
    <x v="0"/>
    <x v="0"/>
    <n v="4"/>
    <x v="0"/>
    <n v="0"/>
    <x v="37"/>
    <n v="5"/>
    <x v="0"/>
    <x v="30"/>
    <x v="6"/>
    <x v="14"/>
    <x v="13"/>
  </r>
  <r>
    <x v="21"/>
    <x v="1"/>
    <s v="Travel_Rarely"/>
    <n v="1485"/>
    <x v="1"/>
    <n v="18"/>
    <n v="3"/>
    <s v="Medical"/>
    <n v="1"/>
    <n v="550"/>
    <x v="1"/>
    <x v="0"/>
    <x v="44"/>
    <x v="0"/>
    <x v="0"/>
    <x v="3"/>
    <x v="2"/>
    <x v="2"/>
    <x v="401"/>
    <x v="409"/>
    <x v="7"/>
    <s v="Y"/>
    <s v="No"/>
    <x v="9"/>
    <x v="0"/>
    <n v="3"/>
    <x v="0"/>
    <n v="1"/>
    <x v="16"/>
    <n v="5"/>
    <x v="2"/>
    <x v="1"/>
    <x v="1"/>
    <x v="0"/>
    <x v="5"/>
  </r>
  <r>
    <x v="19"/>
    <x v="1"/>
    <s v="Travel_Frequently"/>
    <n v="1368"/>
    <x v="1"/>
    <n v="28"/>
    <n v="4"/>
    <s v="Technical Degree"/>
    <n v="1"/>
    <n v="551"/>
    <x v="2"/>
    <x v="0"/>
    <x v="64"/>
    <x v="1"/>
    <x v="0"/>
    <x v="4"/>
    <x v="0"/>
    <x v="1"/>
    <x v="402"/>
    <x v="410"/>
    <x v="4"/>
    <s v="Y"/>
    <s v="No"/>
    <x v="0"/>
    <x v="0"/>
    <n v="4"/>
    <x v="0"/>
    <n v="3"/>
    <x v="2"/>
    <n v="4"/>
    <x v="3"/>
    <x v="0"/>
    <x v="4"/>
    <x v="0"/>
    <x v="10"/>
  </r>
  <r>
    <x v="17"/>
    <x v="0"/>
    <s v="Travel_Rarely"/>
    <n v="1448"/>
    <x v="0"/>
    <n v="1"/>
    <n v="1"/>
    <s v="Technical Degree"/>
    <n v="1"/>
    <n v="554"/>
    <x v="3"/>
    <x v="0"/>
    <x v="50"/>
    <x v="0"/>
    <x v="1"/>
    <x v="6"/>
    <x v="1"/>
    <x v="0"/>
    <x v="403"/>
    <x v="411"/>
    <x v="1"/>
    <s v="Y"/>
    <s v="Yes"/>
    <x v="10"/>
    <x v="0"/>
    <n v="2"/>
    <x v="0"/>
    <n v="0"/>
    <x v="3"/>
    <n v="4"/>
    <x v="1"/>
    <x v="8"/>
    <x v="7"/>
    <x v="1"/>
    <x v="10"/>
  </r>
  <r>
    <x v="13"/>
    <x v="0"/>
    <s v="Travel_Frequently"/>
    <n v="296"/>
    <x v="0"/>
    <n v="6"/>
    <n v="2"/>
    <s v="Marketing"/>
    <n v="1"/>
    <n v="555"/>
    <x v="2"/>
    <x v="0"/>
    <x v="30"/>
    <x v="3"/>
    <x v="1"/>
    <x v="6"/>
    <x v="2"/>
    <x v="2"/>
    <x v="404"/>
    <x v="412"/>
    <x v="4"/>
    <s v="Y"/>
    <s v="No"/>
    <x v="10"/>
    <x v="0"/>
    <n v="4"/>
    <x v="0"/>
    <n v="1"/>
    <x v="8"/>
    <n v="3"/>
    <x v="2"/>
    <x v="4"/>
    <x v="3"/>
    <x v="1"/>
    <x v="2"/>
  </r>
  <r>
    <x v="8"/>
    <x v="1"/>
    <s v="Travel_Frequently"/>
    <n v="1490"/>
    <x v="1"/>
    <n v="2"/>
    <n v="2"/>
    <s v="Life Sciences"/>
    <n v="1"/>
    <n v="556"/>
    <x v="2"/>
    <x v="1"/>
    <x v="25"/>
    <x v="0"/>
    <x v="1"/>
    <x v="2"/>
    <x v="0"/>
    <x v="1"/>
    <x v="405"/>
    <x v="413"/>
    <x v="1"/>
    <s v="Y"/>
    <s v="Yes"/>
    <x v="1"/>
    <x v="1"/>
    <n v="3"/>
    <x v="0"/>
    <n v="1"/>
    <x v="5"/>
    <n v="3"/>
    <x v="1"/>
    <x v="6"/>
    <x v="2"/>
    <x v="0"/>
    <x v="2"/>
  </r>
  <r>
    <x v="32"/>
    <x v="1"/>
    <s v="Travel_Rarely"/>
    <n v="1398"/>
    <x v="0"/>
    <n v="2"/>
    <n v="4"/>
    <s v="Life Sciences"/>
    <n v="1"/>
    <n v="558"/>
    <x v="1"/>
    <x v="0"/>
    <x v="5"/>
    <x v="0"/>
    <x v="4"/>
    <x v="5"/>
    <x v="2"/>
    <x v="1"/>
    <x v="406"/>
    <x v="414"/>
    <x v="4"/>
    <s v="Y"/>
    <s v="No"/>
    <x v="9"/>
    <x v="0"/>
    <n v="4"/>
    <x v="0"/>
    <n v="0"/>
    <x v="24"/>
    <n v="2"/>
    <x v="1"/>
    <x v="23"/>
    <x v="11"/>
    <x v="1"/>
    <x v="11"/>
  </r>
  <r>
    <x v="25"/>
    <x v="1"/>
    <s v="Travel_Rarely"/>
    <n v="1349"/>
    <x v="1"/>
    <n v="23"/>
    <n v="3"/>
    <s v="Life Sciences"/>
    <n v="1"/>
    <n v="560"/>
    <x v="3"/>
    <x v="0"/>
    <x v="62"/>
    <x v="0"/>
    <x v="1"/>
    <x v="1"/>
    <x v="0"/>
    <x v="2"/>
    <x v="407"/>
    <x v="415"/>
    <x v="1"/>
    <s v="Y"/>
    <s v="No"/>
    <x v="6"/>
    <x v="1"/>
    <n v="2"/>
    <x v="0"/>
    <n v="2"/>
    <x v="8"/>
    <n v="3"/>
    <x v="0"/>
    <x v="11"/>
    <x v="3"/>
    <x v="0"/>
    <x v="3"/>
  </r>
  <r>
    <x v="7"/>
    <x v="1"/>
    <s v="Non-Travel"/>
    <n v="1400"/>
    <x v="1"/>
    <n v="3"/>
    <n v="3"/>
    <s v="Life Sciences"/>
    <n v="1"/>
    <n v="562"/>
    <x v="1"/>
    <x v="1"/>
    <x v="20"/>
    <x v="0"/>
    <x v="1"/>
    <x v="2"/>
    <x v="0"/>
    <x v="1"/>
    <x v="408"/>
    <x v="416"/>
    <x v="5"/>
    <s v="Y"/>
    <s v="No"/>
    <x v="2"/>
    <x v="0"/>
    <n v="3"/>
    <x v="0"/>
    <n v="1"/>
    <x v="15"/>
    <n v="3"/>
    <x v="0"/>
    <x v="8"/>
    <x v="7"/>
    <x v="1"/>
    <x v="10"/>
  </r>
  <r>
    <x v="11"/>
    <x v="1"/>
    <s v="Travel_Rarely"/>
    <n v="986"/>
    <x v="1"/>
    <n v="3"/>
    <n v="4"/>
    <s v="Medical"/>
    <n v="1"/>
    <n v="564"/>
    <x v="0"/>
    <x v="1"/>
    <x v="12"/>
    <x v="1"/>
    <x v="2"/>
    <x v="7"/>
    <x v="2"/>
    <x v="1"/>
    <x v="409"/>
    <x v="417"/>
    <x v="1"/>
    <s v="Y"/>
    <s v="No"/>
    <x v="11"/>
    <x v="0"/>
    <n v="3"/>
    <x v="0"/>
    <n v="0"/>
    <x v="1"/>
    <n v="2"/>
    <x v="1"/>
    <x v="1"/>
    <x v="3"/>
    <x v="0"/>
    <x v="1"/>
  </r>
  <r>
    <x v="11"/>
    <x v="0"/>
    <s v="Travel_Rarely"/>
    <n v="408"/>
    <x v="1"/>
    <n v="25"/>
    <n v="5"/>
    <s v="Technical Degree"/>
    <n v="1"/>
    <n v="565"/>
    <x v="1"/>
    <x v="0"/>
    <x v="36"/>
    <x v="1"/>
    <x v="1"/>
    <x v="1"/>
    <x v="1"/>
    <x v="1"/>
    <x v="410"/>
    <x v="418"/>
    <x v="6"/>
    <s v="Y"/>
    <s v="No"/>
    <x v="10"/>
    <x v="0"/>
    <n v="2"/>
    <x v="0"/>
    <n v="0"/>
    <x v="3"/>
    <n v="2"/>
    <x v="3"/>
    <x v="4"/>
    <x v="3"/>
    <x v="1"/>
    <x v="9"/>
  </r>
  <r>
    <x v="37"/>
    <x v="0"/>
    <s v="Travel_Rarely"/>
    <n v="489"/>
    <x v="2"/>
    <n v="2"/>
    <n v="2"/>
    <s v="Technical Degree"/>
    <n v="1"/>
    <n v="566"/>
    <x v="3"/>
    <x v="1"/>
    <x v="48"/>
    <x v="1"/>
    <x v="1"/>
    <x v="8"/>
    <x v="0"/>
    <x v="0"/>
    <x v="411"/>
    <x v="419"/>
    <x v="1"/>
    <s v="Y"/>
    <s v="No"/>
    <x v="3"/>
    <x v="0"/>
    <n v="3"/>
    <x v="0"/>
    <n v="0"/>
    <x v="5"/>
    <n v="3"/>
    <x v="3"/>
    <x v="6"/>
    <x v="2"/>
    <x v="0"/>
    <x v="2"/>
  </r>
  <r>
    <x v="7"/>
    <x v="1"/>
    <s v="Non-Travel"/>
    <n v="1398"/>
    <x v="0"/>
    <n v="22"/>
    <n v="4"/>
    <s v="Other"/>
    <n v="1"/>
    <n v="567"/>
    <x v="1"/>
    <x v="0"/>
    <x v="68"/>
    <x v="0"/>
    <x v="2"/>
    <x v="0"/>
    <x v="3"/>
    <x v="1"/>
    <x v="412"/>
    <x v="420"/>
    <x v="4"/>
    <s v="Y"/>
    <s v="No"/>
    <x v="0"/>
    <x v="0"/>
    <n v="3"/>
    <x v="0"/>
    <n v="0"/>
    <x v="1"/>
    <n v="3"/>
    <x v="1"/>
    <x v="7"/>
    <x v="6"/>
    <x v="4"/>
    <x v="5"/>
  </r>
  <r>
    <x v="38"/>
    <x v="1"/>
    <s v="Travel_Rarely"/>
    <n v="210"/>
    <x v="0"/>
    <n v="29"/>
    <n v="3"/>
    <s v="Marketing"/>
    <n v="1"/>
    <n v="568"/>
    <x v="3"/>
    <x v="1"/>
    <x v="3"/>
    <x v="1"/>
    <x v="3"/>
    <x v="5"/>
    <x v="0"/>
    <x v="2"/>
    <x v="413"/>
    <x v="421"/>
    <x v="9"/>
    <s v="Y"/>
    <s v="No"/>
    <x v="3"/>
    <x v="0"/>
    <n v="3"/>
    <x v="0"/>
    <n v="1"/>
    <x v="36"/>
    <n v="3"/>
    <x v="2"/>
    <x v="6"/>
    <x v="2"/>
    <x v="0"/>
    <x v="2"/>
  </r>
  <r>
    <x v="24"/>
    <x v="1"/>
    <s v="Travel_Rarely"/>
    <n v="1099"/>
    <x v="1"/>
    <n v="29"/>
    <n v="4"/>
    <s v="Life Sciences"/>
    <n v="1"/>
    <n v="569"/>
    <x v="0"/>
    <x v="1"/>
    <x v="64"/>
    <x v="1"/>
    <x v="3"/>
    <x v="5"/>
    <x v="2"/>
    <x v="1"/>
    <x v="414"/>
    <x v="422"/>
    <x v="4"/>
    <s v="Y"/>
    <s v="No"/>
    <x v="2"/>
    <x v="0"/>
    <n v="2"/>
    <x v="0"/>
    <n v="1"/>
    <x v="23"/>
    <n v="2"/>
    <x v="1"/>
    <x v="16"/>
    <x v="15"/>
    <x v="9"/>
    <x v="1"/>
  </r>
  <r>
    <x v="7"/>
    <x v="1"/>
    <s v="Non-Travel"/>
    <n v="1116"/>
    <x v="1"/>
    <n v="2"/>
    <n v="3"/>
    <s v="Medical"/>
    <n v="1"/>
    <n v="571"/>
    <x v="1"/>
    <x v="0"/>
    <x v="10"/>
    <x v="0"/>
    <x v="1"/>
    <x v="2"/>
    <x v="0"/>
    <x v="0"/>
    <x v="411"/>
    <x v="423"/>
    <x v="4"/>
    <s v="Y"/>
    <s v="No"/>
    <x v="9"/>
    <x v="0"/>
    <n v="3"/>
    <x v="0"/>
    <n v="0"/>
    <x v="4"/>
    <n v="2"/>
    <x v="2"/>
    <x v="19"/>
    <x v="1"/>
    <x v="7"/>
    <x v="1"/>
  </r>
  <r>
    <x v="42"/>
    <x v="1"/>
    <s v="Travel_Frequently"/>
    <n v="1499"/>
    <x v="0"/>
    <n v="28"/>
    <n v="3"/>
    <s v="Marketing"/>
    <n v="1"/>
    <n v="573"/>
    <x v="1"/>
    <x v="0"/>
    <x v="15"/>
    <x v="1"/>
    <x v="2"/>
    <x v="0"/>
    <x v="3"/>
    <x v="1"/>
    <x v="415"/>
    <x v="424"/>
    <x v="5"/>
    <s v="Y"/>
    <s v="No"/>
    <x v="12"/>
    <x v="0"/>
    <n v="4"/>
    <x v="0"/>
    <n v="0"/>
    <x v="14"/>
    <n v="5"/>
    <x v="3"/>
    <x v="29"/>
    <x v="9"/>
    <x v="11"/>
    <x v="7"/>
  </r>
  <r>
    <x v="40"/>
    <x v="1"/>
    <s v="Travel_Rarely"/>
    <n v="983"/>
    <x v="1"/>
    <n v="2"/>
    <n v="2"/>
    <s v="Medical"/>
    <n v="1"/>
    <n v="574"/>
    <x v="3"/>
    <x v="0"/>
    <x v="63"/>
    <x v="0"/>
    <x v="0"/>
    <x v="3"/>
    <x v="0"/>
    <x v="2"/>
    <x v="416"/>
    <x v="425"/>
    <x v="6"/>
    <s v="Y"/>
    <s v="No"/>
    <x v="4"/>
    <x v="0"/>
    <n v="3"/>
    <x v="0"/>
    <n v="3"/>
    <x v="26"/>
    <n v="2"/>
    <x v="1"/>
    <x v="8"/>
    <x v="2"/>
    <x v="0"/>
    <x v="10"/>
  </r>
  <r>
    <x v="21"/>
    <x v="1"/>
    <s v="Travel_Rarely"/>
    <n v="1009"/>
    <x v="1"/>
    <n v="2"/>
    <n v="3"/>
    <s v="Life Sciences"/>
    <n v="1"/>
    <n v="575"/>
    <x v="3"/>
    <x v="1"/>
    <x v="14"/>
    <x v="0"/>
    <x v="3"/>
    <x v="7"/>
    <x v="2"/>
    <x v="1"/>
    <x v="417"/>
    <x v="426"/>
    <x v="2"/>
    <s v="Y"/>
    <s v="No"/>
    <x v="4"/>
    <x v="0"/>
    <n v="3"/>
    <x v="0"/>
    <n v="0"/>
    <x v="12"/>
    <n v="2"/>
    <x v="0"/>
    <x v="11"/>
    <x v="3"/>
    <x v="0"/>
    <x v="9"/>
  </r>
  <r>
    <x v="10"/>
    <x v="1"/>
    <s v="Travel_Rarely"/>
    <n v="144"/>
    <x v="1"/>
    <n v="22"/>
    <n v="3"/>
    <s v="Life Sciences"/>
    <n v="1"/>
    <n v="577"/>
    <x v="2"/>
    <x v="1"/>
    <x v="55"/>
    <x v="3"/>
    <x v="1"/>
    <x v="2"/>
    <x v="2"/>
    <x v="0"/>
    <x v="418"/>
    <x v="427"/>
    <x v="4"/>
    <s v="Y"/>
    <s v="No"/>
    <x v="2"/>
    <x v="0"/>
    <n v="3"/>
    <x v="0"/>
    <n v="0"/>
    <x v="3"/>
    <n v="2"/>
    <x v="1"/>
    <x v="8"/>
    <x v="0"/>
    <x v="5"/>
    <x v="6"/>
  </r>
  <r>
    <x v="33"/>
    <x v="1"/>
    <s v="Travel_Rarely"/>
    <n v="548"/>
    <x v="1"/>
    <n v="8"/>
    <n v="4"/>
    <s v="Life Sciences"/>
    <n v="1"/>
    <n v="578"/>
    <x v="1"/>
    <x v="0"/>
    <x v="25"/>
    <x v="0"/>
    <x v="0"/>
    <x v="2"/>
    <x v="2"/>
    <x v="0"/>
    <x v="419"/>
    <x v="428"/>
    <x v="8"/>
    <s v="Y"/>
    <s v="No"/>
    <x v="0"/>
    <x v="0"/>
    <n v="3"/>
    <x v="0"/>
    <n v="0"/>
    <x v="16"/>
    <n v="3"/>
    <x v="1"/>
    <x v="6"/>
    <x v="2"/>
    <x v="0"/>
    <x v="2"/>
  </r>
  <r>
    <x v="13"/>
    <x v="1"/>
    <s v="Travel_Rarely"/>
    <n v="1303"/>
    <x v="1"/>
    <n v="2"/>
    <n v="4"/>
    <s v="Life Sciences"/>
    <n v="1"/>
    <n v="579"/>
    <x v="2"/>
    <x v="1"/>
    <x v="50"/>
    <x v="1"/>
    <x v="1"/>
    <x v="1"/>
    <x v="2"/>
    <x v="2"/>
    <x v="420"/>
    <x v="429"/>
    <x v="9"/>
    <s v="Y"/>
    <s v="No"/>
    <x v="3"/>
    <x v="0"/>
    <n v="3"/>
    <x v="0"/>
    <n v="1"/>
    <x v="19"/>
    <n v="3"/>
    <x v="1"/>
    <x v="5"/>
    <x v="7"/>
    <x v="8"/>
    <x v="1"/>
  </r>
  <r>
    <x v="21"/>
    <x v="1"/>
    <s v="Travel_Rarely"/>
    <n v="1125"/>
    <x v="0"/>
    <n v="10"/>
    <n v="3"/>
    <s v="Marketing"/>
    <n v="1"/>
    <n v="580"/>
    <x v="1"/>
    <x v="0"/>
    <x v="0"/>
    <x v="1"/>
    <x v="2"/>
    <x v="0"/>
    <x v="0"/>
    <x v="1"/>
    <x v="421"/>
    <x v="430"/>
    <x v="7"/>
    <s v="Y"/>
    <s v="Yes"/>
    <x v="12"/>
    <x v="0"/>
    <n v="3"/>
    <x v="0"/>
    <n v="1"/>
    <x v="20"/>
    <n v="3"/>
    <x v="1"/>
    <x v="11"/>
    <x v="3"/>
    <x v="1"/>
    <x v="3"/>
  </r>
  <r>
    <x v="12"/>
    <x v="1"/>
    <s v="Travel_Rarely"/>
    <n v="1274"/>
    <x v="1"/>
    <n v="9"/>
    <n v="1"/>
    <s v="Life Sciences"/>
    <n v="1"/>
    <n v="581"/>
    <x v="1"/>
    <x v="1"/>
    <x v="30"/>
    <x v="0"/>
    <x v="2"/>
    <x v="3"/>
    <x v="1"/>
    <x v="2"/>
    <x v="422"/>
    <x v="431"/>
    <x v="1"/>
    <s v="Y"/>
    <s v="No"/>
    <x v="14"/>
    <x v="1"/>
    <n v="4"/>
    <x v="0"/>
    <n v="1"/>
    <x v="10"/>
    <n v="6"/>
    <x v="3"/>
    <x v="20"/>
    <x v="6"/>
    <x v="0"/>
    <x v="5"/>
  </r>
  <r>
    <x v="3"/>
    <x v="0"/>
    <s v="Travel_Rarely"/>
    <n v="1277"/>
    <x v="1"/>
    <n v="15"/>
    <n v="1"/>
    <s v="Medical"/>
    <n v="1"/>
    <n v="582"/>
    <x v="0"/>
    <x v="1"/>
    <x v="3"/>
    <x v="0"/>
    <x v="2"/>
    <x v="5"/>
    <x v="2"/>
    <x v="1"/>
    <x v="423"/>
    <x v="432"/>
    <x v="8"/>
    <s v="Y"/>
    <s v="Yes"/>
    <x v="3"/>
    <x v="0"/>
    <n v="4"/>
    <x v="0"/>
    <n v="0"/>
    <x v="20"/>
    <n v="2"/>
    <x v="3"/>
    <x v="5"/>
    <x v="8"/>
    <x v="4"/>
    <x v="1"/>
  </r>
  <r>
    <x v="3"/>
    <x v="0"/>
    <s v="Travel_Rarely"/>
    <n v="587"/>
    <x v="1"/>
    <n v="10"/>
    <n v="1"/>
    <s v="Medical"/>
    <n v="1"/>
    <n v="584"/>
    <x v="3"/>
    <x v="1"/>
    <x v="70"/>
    <x v="3"/>
    <x v="1"/>
    <x v="2"/>
    <x v="0"/>
    <x v="2"/>
    <x v="424"/>
    <x v="433"/>
    <x v="8"/>
    <s v="Y"/>
    <s v="No"/>
    <x v="4"/>
    <x v="0"/>
    <n v="1"/>
    <x v="0"/>
    <n v="3"/>
    <x v="0"/>
    <n v="2"/>
    <x v="1"/>
    <x v="9"/>
    <x v="7"/>
    <x v="1"/>
    <x v="6"/>
  </r>
  <r>
    <x v="7"/>
    <x v="1"/>
    <s v="Travel_Rarely"/>
    <n v="413"/>
    <x v="0"/>
    <n v="7"/>
    <n v="1"/>
    <s v="Marketing"/>
    <n v="1"/>
    <n v="585"/>
    <x v="2"/>
    <x v="1"/>
    <x v="42"/>
    <x v="0"/>
    <x v="1"/>
    <x v="6"/>
    <x v="1"/>
    <x v="0"/>
    <x v="425"/>
    <x v="434"/>
    <x v="4"/>
    <s v="Y"/>
    <s v="No"/>
    <x v="9"/>
    <x v="0"/>
    <n v="1"/>
    <x v="0"/>
    <n v="0"/>
    <x v="21"/>
    <n v="3"/>
    <x v="1"/>
    <x v="11"/>
    <x v="3"/>
    <x v="1"/>
    <x v="3"/>
  </r>
  <r>
    <x v="10"/>
    <x v="1"/>
    <s v="Travel_Rarely"/>
    <n v="1276"/>
    <x v="1"/>
    <n v="16"/>
    <n v="3"/>
    <s v="Life Sciences"/>
    <n v="1"/>
    <n v="586"/>
    <x v="2"/>
    <x v="1"/>
    <x v="23"/>
    <x v="0"/>
    <x v="2"/>
    <x v="4"/>
    <x v="2"/>
    <x v="1"/>
    <x v="426"/>
    <x v="435"/>
    <x v="5"/>
    <s v="Y"/>
    <s v="Yes"/>
    <x v="3"/>
    <x v="0"/>
    <n v="3"/>
    <x v="0"/>
    <n v="0"/>
    <x v="1"/>
    <n v="2"/>
    <x v="1"/>
    <x v="3"/>
    <x v="1"/>
    <x v="0"/>
    <x v="2"/>
  </r>
  <r>
    <x v="12"/>
    <x v="0"/>
    <s v="Travel_Frequently"/>
    <n v="534"/>
    <x v="1"/>
    <n v="20"/>
    <n v="3"/>
    <s v="Life Sciences"/>
    <n v="1"/>
    <n v="587"/>
    <x v="3"/>
    <x v="1"/>
    <x v="45"/>
    <x v="0"/>
    <x v="2"/>
    <x v="4"/>
    <x v="2"/>
    <x v="1"/>
    <x v="427"/>
    <x v="436"/>
    <x v="9"/>
    <s v="Y"/>
    <s v="No"/>
    <x v="3"/>
    <x v="0"/>
    <n v="1"/>
    <x v="0"/>
    <n v="0"/>
    <x v="4"/>
    <n v="2"/>
    <x v="1"/>
    <x v="6"/>
    <x v="2"/>
    <x v="0"/>
    <x v="2"/>
  </r>
  <r>
    <x v="13"/>
    <x v="0"/>
    <s v="Travel_Frequently"/>
    <n v="988"/>
    <x v="2"/>
    <n v="23"/>
    <n v="3"/>
    <s v="Human Resources"/>
    <n v="1"/>
    <n v="590"/>
    <x v="0"/>
    <x v="0"/>
    <x v="38"/>
    <x v="0"/>
    <x v="2"/>
    <x v="8"/>
    <x v="3"/>
    <x v="2"/>
    <x v="428"/>
    <x v="437"/>
    <x v="3"/>
    <s v="Y"/>
    <s v="Yes"/>
    <x v="2"/>
    <x v="0"/>
    <n v="3"/>
    <x v="0"/>
    <n v="3"/>
    <x v="27"/>
    <n v="2"/>
    <x v="1"/>
    <x v="11"/>
    <x v="3"/>
    <x v="0"/>
    <x v="3"/>
  </r>
  <r>
    <x v="19"/>
    <x v="1"/>
    <s v="Travel_Frequently"/>
    <n v="1474"/>
    <x v="1"/>
    <n v="5"/>
    <n v="2"/>
    <s v="Other"/>
    <n v="1"/>
    <n v="591"/>
    <x v="0"/>
    <x v="1"/>
    <x v="28"/>
    <x v="0"/>
    <x v="1"/>
    <x v="2"/>
    <x v="2"/>
    <x v="1"/>
    <x v="429"/>
    <x v="438"/>
    <x v="5"/>
    <s v="Y"/>
    <s v="No"/>
    <x v="8"/>
    <x v="0"/>
    <n v="4"/>
    <x v="0"/>
    <n v="1"/>
    <x v="0"/>
    <n v="4"/>
    <x v="1"/>
    <x v="4"/>
    <x v="3"/>
    <x v="3"/>
    <x v="2"/>
  </r>
  <r>
    <x v="9"/>
    <x v="1"/>
    <s v="Non-Travel"/>
    <n v="635"/>
    <x v="0"/>
    <n v="10"/>
    <n v="4"/>
    <s v="Medical"/>
    <n v="1"/>
    <n v="592"/>
    <x v="0"/>
    <x v="1"/>
    <x v="47"/>
    <x v="0"/>
    <x v="2"/>
    <x v="0"/>
    <x v="0"/>
    <x v="0"/>
    <x v="15"/>
    <x v="439"/>
    <x v="1"/>
    <s v="Y"/>
    <s v="No"/>
    <x v="9"/>
    <x v="0"/>
    <n v="4"/>
    <x v="0"/>
    <n v="0"/>
    <x v="1"/>
    <n v="3"/>
    <x v="2"/>
    <x v="1"/>
    <x v="7"/>
    <x v="10"/>
    <x v="1"/>
  </r>
  <r>
    <x v="15"/>
    <x v="0"/>
    <s v="Travel_Frequently"/>
    <n v="1368"/>
    <x v="1"/>
    <n v="4"/>
    <n v="1"/>
    <s v="Technical Degree"/>
    <n v="1"/>
    <n v="593"/>
    <x v="1"/>
    <x v="1"/>
    <x v="39"/>
    <x v="1"/>
    <x v="1"/>
    <x v="2"/>
    <x v="2"/>
    <x v="0"/>
    <x v="430"/>
    <x v="440"/>
    <x v="6"/>
    <s v="Y"/>
    <s v="No"/>
    <x v="10"/>
    <x v="0"/>
    <n v="3"/>
    <x v="0"/>
    <n v="0"/>
    <x v="21"/>
    <n v="3"/>
    <x v="1"/>
    <x v="4"/>
    <x v="3"/>
    <x v="1"/>
    <x v="3"/>
  </r>
  <r>
    <x v="26"/>
    <x v="1"/>
    <s v="Travel_Rarely"/>
    <n v="163"/>
    <x v="0"/>
    <n v="2"/>
    <n v="5"/>
    <s v="Marketing"/>
    <n v="1"/>
    <n v="595"/>
    <x v="0"/>
    <x v="0"/>
    <x v="31"/>
    <x v="0"/>
    <x v="0"/>
    <x v="0"/>
    <x v="0"/>
    <x v="1"/>
    <x v="431"/>
    <x v="441"/>
    <x v="7"/>
    <s v="Y"/>
    <s v="No"/>
    <x v="9"/>
    <x v="0"/>
    <n v="1"/>
    <x v="0"/>
    <n v="1"/>
    <x v="19"/>
    <n v="2"/>
    <x v="1"/>
    <x v="7"/>
    <x v="1"/>
    <x v="7"/>
    <x v="1"/>
  </r>
  <r>
    <x v="27"/>
    <x v="1"/>
    <s v="Travel_Rarely"/>
    <n v="1117"/>
    <x v="0"/>
    <n v="18"/>
    <n v="5"/>
    <s v="Life Sciences"/>
    <n v="1"/>
    <n v="597"/>
    <x v="3"/>
    <x v="0"/>
    <x v="21"/>
    <x v="0"/>
    <x v="3"/>
    <x v="5"/>
    <x v="1"/>
    <x v="0"/>
    <x v="432"/>
    <x v="442"/>
    <x v="9"/>
    <s v="Y"/>
    <s v="No"/>
    <x v="1"/>
    <x v="1"/>
    <n v="4"/>
    <x v="0"/>
    <n v="0"/>
    <x v="29"/>
    <n v="2"/>
    <x v="1"/>
    <x v="1"/>
    <x v="5"/>
    <x v="4"/>
    <x v="1"/>
  </r>
  <r>
    <x v="0"/>
    <x v="1"/>
    <s v="Non-Travel"/>
    <n v="267"/>
    <x v="0"/>
    <n v="10"/>
    <n v="2"/>
    <s v="Life Sciences"/>
    <n v="1"/>
    <n v="599"/>
    <x v="2"/>
    <x v="1"/>
    <x v="3"/>
    <x v="0"/>
    <x v="0"/>
    <x v="0"/>
    <x v="0"/>
    <x v="0"/>
    <x v="433"/>
    <x v="443"/>
    <x v="8"/>
    <s v="Y"/>
    <s v="No"/>
    <x v="9"/>
    <x v="0"/>
    <n v="4"/>
    <x v="0"/>
    <n v="0"/>
    <x v="28"/>
    <n v="3"/>
    <x v="1"/>
    <x v="13"/>
    <x v="7"/>
    <x v="1"/>
    <x v="13"/>
  </r>
  <r>
    <x v="10"/>
    <x v="1"/>
    <s v="Travel_Rarely"/>
    <n v="619"/>
    <x v="0"/>
    <n v="1"/>
    <n v="3"/>
    <s v="Marketing"/>
    <n v="1"/>
    <n v="600"/>
    <x v="0"/>
    <x v="1"/>
    <x v="65"/>
    <x v="0"/>
    <x v="0"/>
    <x v="0"/>
    <x v="2"/>
    <x v="1"/>
    <x v="434"/>
    <x v="444"/>
    <x v="3"/>
    <s v="Y"/>
    <s v="No"/>
    <x v="0"/>
    <x v="0"/>
    <n v="3"/>
    <x v="0"/>
    <n v="0"/>
    <x v="20"/>
    <n v="2"/>
    <x v="1"/>
    <x v="19"/>
    <x v="5"/>
    <x v="7"/>
    <x v="12"/>
  </r>
  <r>
    <x v="32"/>
    <x v="1"/>
    <s v="Travel_Rarely"/>
    <n v="302"/>
    <x v="1"/>
    <n v="6"/>
    <n v="3"/>
    <s v="Life Sciences"/>
    <n v="1"/>
    <n v="601"/>
    <x v="0"/>
    <x v="0"/>
    <x v="29"/>
    <x v="0"/>
    <x v="3"/>
    <x v="3"/>
    <x v="2"/>
    <x v="0"/>
    <x v="435"/>
    <x v="445"/>
    <x v="8"/>
    <s v="Y"/>
    <s v="No"/>
    <x v="2"/>
    <x v="0"/>
    <n v="3"/>
    <x v="0"/>
    <n v="0"/>
    <x v="14"/>
    <n v="3"/>
    <x v="1"/>
    <x v="23"/>
    <x v="8"/>
    <x v="8"/>
    <x v="15"/>
  </r>
  <r>
    <x v="22"/>
    <x v="1"/>
    <s v="Travel_Frequently"/>
    <n v="443"/>
    <x v="1"/>
    <n v="8"/>
    <n v="1"/>
    <s v="Life Sciences"/>
    <n v="1"/>
    <n v="602"/>
    <x v="1"/>
    <x v="0"/>
    <x v="24"/>
    <x v="0"/>
    <x v="1"/>
    <x v="2"/>
    <x v="2"/>
    <x v="1"/>
    <x v="436"/>
    <x v="446"/>
    <x v="1"/>
    <s v="Y"/>
    <s v="No"/>
    <x v="0"/>
    <x v="0"/>
    <n v="1"/>
    <x v="0"/>
    <n v="1"/>
    <x v="0"/>
    <n v="3"/>
    <x v="1"/>
    <x v="3"/>
    <x v="7"/>
    <x v="0"/>
    <x v="1"/>
  </r>
  <r>
    <x v="12"/>
    <x v="1"/>
    <s v="Travel_Rarely"/>
    <n v="828"/>
    <x v="0"/>
    <n v="2"/>
    <n v="1"/>
    <s v="Life Sciences"/>
    <n v="1"/>
    <n v="604"/>
    <x v="0"/>
    <x v="1"/>
    <x v="57"/>
    <x v="0"/>
    <x v="0"/>
    <x v="0"/>
    <x v="0"/>
    <x v="0"/>
    <x v="437"/>
    <x v="447"/>
    <x v="5"/>
    <s v="Y"/>
    <s v="Yes"/>
    <x v="4"/>
    <x v="0"/>
    <n v="3"/>
    <x v="0"/>
    <n v="0"/>
    <x v="1"/>
    <n v="2"/>
    <x v="3"/>
    <x v="0"/>
    <x v="4"/>
    <x v="0"/>
    <x v="0"/>
  </r>
  <r>
    <x v="19"/>
    <x v="1"/>
    <s v="Travel_Rarely"/>
    <n v="319"/>
    <x v="1"/>
    <n v="24"/>
    <n v="3"/>
    <s v="Medical"/>
    <n v="1"/>
    <n v="605"/>
    <x v="2"/>
    <x v="1"/>
    <x v="3"/>
    <x v="0"/>
    <x v="2"/>
    <x v="3"/>
    <x v="3"/>
    <x v="1"/>
    <x v="438"/>
    <x v="448"/>
    <x v="1"/>
    <s v="Y"/>
    <s v="Yes"/>
    <x v="7"/>
    <x v="1"/>
    <n v="4"/>
    <x v="0"/>
    <n v="1"/>
    <x v="1"/>
    <n v="5"/>
    <x v="2"/>
    <x v="1"/>
    <x v="5"/>
    <x v="8"/>
    <x v="5"/>
  </r>
  <r>
    <x v="28"/>
    <x v="1"/>
    <s v="Travel_Rarely"/>
    <n v="561"/>
    <x v="0"/>
    <n v="2"/>
    <n v="3"/>
    <s v="Other"/>
    <n v="1"/>
    <n v="606"/>
    <x v="2"/>
    <x v="1"/>
    <x v="1"/>
    <x v="0"/>
    <x v="0"/>
    <x v="0"/>
    <x v="1"/>
    <x v="1"/>
    <x v="439"/>
    <x v="449"/>
    <x v="4"/>
    <s v="Y"/>
    <s v="No"/>
    <x v="12"/>
    <x v="0"/>
    <n v="2"/>
    <x v="0"/>
    <n v="1"/>
    <x v="15"/>
    <n v="3"/>
    <x v="3"/>
    <x v="3"/>
    <x v="1"/>
    <x v="2"/>
    <x v="1"/>
  </r>
  <r>
    <x v="25"/>
    <x v="0"/>
    <s v="Travel_Frequently"/>
    <n v="426"/>
    <x v="2"/>
    <n v="17"/>
    <n v="4"/>
    <s v="Life Sciences"/>
    <n v="1"/>
    <n v="608"/>
    <x v="0"/>
    <x v="0"/>
    <x v="22"/>
    <x v="0"/>
    <x v="1"/>
    <x v="8"/>
    <x v="2"/>
    <x v="2"/>
    <x v="199"/>
    <x v="450"/>
    <x v="4"/>
    <s v="Y"/>
    <s v="Yes"/>
    <x v="0"/>
    <x v="0"/>
    <n v="2"/>
    <x v="0"/>
    <n v="1"/>
    <x v="0"/>
    <n v="2"/>
    <x v="2"/>
    <x v="5"/>
    <x v="1"/>
    <x v="1"/>
    <x v="2"/>
  </r>
  <r>
    <x v="11"/>
    <x v="1"/>
    <s v="Travel_Rarely"/>
    <n v="232"/>
    <x v="1"/>
    <n v="19"/>
    <n v="3"/>
    <s v="Technical Degree"/>
    <n v="1"/>
    <n v="611"/>
    <x v="2"/>
    <x v="1"/>
    <x v="61"/>
    <x v="0"/>
    <x v="0"/>
    <x v="3"/>
    <x v="0"/>
    <x v="2"/>
    <x v="440"/>
    <x v="451"/>
    <x v="5"/>
    <s v="Y"/>
    <s v="No"/>
    <x v="3"/>
    <x v="0"/>
    <n v="2"/>
    <x v="0"/>
    <n v="2"/>
    <x v="0"/>
    <n v="2"/>
    <x v="3"/>
    <x v="11"/>
    <x v="3"/>
    <x v="1"/>
    <x v="3"/>
  </r>
  <r>
    <x v="3"/>
    <x v="1"/>
    <s v="Travel_Rarely"/>
    <n v="922"/>
    <x v="1"/>
    <n v="1"/>
    <n v="5"/>
    <s v="Medical"/>
    <n v="1"/>
    <n v="612"/>
    <x v="3"/>
    <x v="0"/>
    <x v="41"/>
    <x v="2"/>
    <x v="3"/>
    <x v="7"/>
    <x v="2"/>
    <x v="2"/>
    <x v="441"/>
    <x v="452"/>
    <x v="5"/>
    <s v="Y"/>
    <s v="No"/>
    <x v="12"/>
    <x v="0"/>
    <n v="3"/>
    <x v="0"/>
    <n v="1"/>
    <x v="1"/>
    <n v="2"/>
    <x v="1"/>
    <x v="0"/>
    <x v="10"/>
    <x v="0"/>
    <x v="0"/>
  </r>
  <r>
    <x v="12"/>
    <x v="1"/>
    <s v="Travel_Rarely"/>
    <n v="688"/>
    <x v="0"/>
    <n v="7"/>
    <n v="3"/>
    <s v="Life Sciences"/>
    <n v="1"/>
    <n v="613"/>
    <x v="1"/>
    <x v="1"/>
    <x v="8"/>
    <x v="1"/>
    <x v="2"/>
    <x v="5"/>
    <x v="0"/>
    <x v="2"/>
    <x v="442"/>
    <x v="453"/>
    <x v="3"/>
    <s v="Y"/>
    <s v="No"/>
    <x v="7"/>
    <x v="1"/>
    <n v="3"/>
    <x v="0"/>
    <n v="1"/>
    <x v="1"/>
    <n v="3"/>
    <x v="2"/>
    <x v="8"/>
    <x v="0"/>
    <x v="0"/>
    <x v="9"/>
  </r>
  <r>
    <x v="41"/>
    <x v="0"/>
    <s v="Travel_Frequently"/>
    <n v="1306"/>
    <x v="0"/>
    <n v="5"/>
    <n v="3"/>
    <s v="Marketing"/>
    <n v="1"/>
    <n v="614"/>
    <x v="0"/>
    <x v="1"/>
    <x v="68"/>
    <x v="0"/>
    <x v="1"/>
    <x v="6"/>
    <x v="1"/>
    <x v="0"/>
    <x v="443"/>
    <x v="454"/>
    <x v="1"/>
    <s v="Y"/>
    <s v="Yes"/>
    <x v="9"/>
    <x v="0"/>
    <n v="4"/>
    <x v="0"/>
    <n v="0"/>
    <x v="11"/>
    <n v="3"/>
    <x v="1"/>
    <x v="2"/>
    <x v="2"/>
    <x v="0"/>
    <x v="2"/>
  </r>
  <r>
    <x v="32"/>
    <x v="1"/>
    <s v="Non-Travel"/>
    <n v="1094"/>
    <x v="0"/>
    <n v="28"/>
    <n v="3"/>
    <s v="Other"/>
    <n v="1"/>
    <n v="615"/>
    <x v="1"/>
    <x v="1"/>
    <x v="22"/>
    <x v="3"/>
    <x v="2"/>
    <x v="0"/>
    <x v="3"/>
    <x v="2"/>
    <x v="444"/>
    <x v="455"/>
    <x v="9"/>
    <s v="Y"/>
    <s v="No"/>
    <x v="2"/>
    <x v="0"/>
    <n v="3"/>
    <x v="0"/>
    <n v="1"/>
    <x v="26"/>
    <n v="2"/>
    <x v="1"/>
    <x v="6"/>
    <x v="2"/>
    <x v="0"/>
    <x v="9"/>
  </r>
  <r>
    <x v="0"/>
    <x v="1"/>
    <s v="Non-Travel"/>
    <n v="509"/>
    <x v="1"/>
    <n v="2"/>
    <n v="4"/>
    <s v="Other"/>
    <n v="1"/>
    <n v="616"/>
    <x v="3"/>
    <x v="0"/>
    <x v="50"/>
    <x v="1"/>
    <x v="0"/>
    <x v="4"/>
    <x v="2"/>
    <x v="0"/>
    <x v="445"/>
    <x v="456"/>
    <x v="7"/>
    <s v="Y"/>
    <s v="Yes"/>
    <x v="8"/>
    <x v="0"/>
    <n v="1"/>
    <x v="0"/>
    <n v="0"/>
    <x v="1"/>
    <n v="3"/>
    <x v="1"/>
    <x v="3"/>
    <x v="1"/>
    <x v="0"/>
    <x v="1"/>
  </r>
  <r>
    <x v="25"/>
    <x v="1"/>
    <s v="Travel_Rarely"/>
    <n v="775"/>
    <x v="0"/>
    <n v="29"/>
    <n v="2"/>
    <s v="Medical"/>
    <n v="1"/>
    <n v="618"/>
    <x v="3"/>
    <x v="1"/>
    <x v="18"/>
    <x v="0"/>
    <x v="0"/>
    <x v="0"/>
    <x v="2"/>
    <x v="2"/>
    <x v="383"/>
    <x v="457"/>
    <x v="6"/>
    <s v="Y"/>
    <s v="No"/>
    <x v="3"/>
    <x v="0"/>
    <n v="1"/>
    <x v="0"/>
    <n v="2"/>
    <x v="0"/>
    <n v="5"/>
    <x v="1"/>
    <x v="2"/>
    <x v="2"/>
    <x v="0"/>
    <x v="2"/>
  </r>
  <r>
    <x v="10"/>
    <x v="1"/>
    <s v="Travel_Rarely"/>
    <n v="195"/>
    <x v="0"/>
    <n v="1"/>
    <n v="3"/>
    <s v="Medical"/>
    <n v="1"/>
    <n v="620"/>
    <x v="3"/>
    <x v="0"/>
    <x v="15"/>
    <x v="0"/>
    <x v="0"/>
    <x v="0"/>
    <x v="2"/>
    <x v="0"/>
    <x v="446"/>
    <x v="458"/>
    <x v="1"/>
    <s v="Y"/>
    <s v="No"/>
    <x v="10"/>
    <x v="0"/>
    <n v="4"/>
    <x v="0"/>
    <n v="0"/>
    <x v="7"/>
    <n v="3"/>
    <x v="1"/>
    <x v="8"/>
    <x v="0"/>
    <x v="0"/>
    <x v="6"/>
  </r>
  <r>
    <x v="13"/>
    <x v="1"/>
    <s v="Travel_Rarely"/>
    <n v="258"/>
    <x v="0"/>
    <n v="21"/>
    <n v="4"/>
    <s v="Life Sciences"/>
    <n v="1"/>
    <n v="621"/>
    <x v="2"/>
    <x v="1"/>
    <x v="69"/>
    <x v="2"/>
    <x v="0"/>
    <x v="0"/>
    <x v="0"/>
    <x v="0"/>
    <x v="447"/>
    <x v="459"/>
    <x v="1"/>
    <s v="Y"/>
    <s v="No"/>
    <x v="3"/>
    <x v="0"/>
    <n v="4"/>
    <x v="0"/>
    <n v="0"/>
    <x v="1"/>
    <n v="3"/>
    <x v="1"/>
    <x v="1"/>
    <x v="1"/>
    <x v="8"/>
    <x v="1"/>
  </r>
  <r>
    <x v="25"/>
    <x v="0"/>
    <s v="Travel_Rarely"/>
    <n v="471"/>
    <x v="1"/>
    <n v="24"/>
    <n v="3"/>
    <s v="Technical Degree"/>
    <n v="1"/>
    <n v="622"/>
    <x v="1"/>
    <x v="1"/>
    <x v="45"/>
    <x v="3"/>
    <x v="1"/>
    <x v="2"/>
    <x v="0"/>
    <x v="0"/>
    <x v="246"/>
    <x v="460"/>
    <x v="1"/>
    <s v="Y"/>
    <s v="Yes"/>
    <x v="11"/>
    <x v="0"/>
    <n v="2"/>
    <x v="0"/>
    <n v="0"/>
    <x v="5"/>
    <n v="3"/>
    <x v="0"/>
    <x v="6"/>
    <x v="2"/>
    <x v="0"/>
    <x v="2"/>
  </r>
  <r>
    <x v="2"/>
    <x v="1"/>
    <s v="Travel_Rarely"/>
    <n v="799"/>
    <x v="1"/>
    <n v="1"/>
    <n v="3"/>
    <s v="Technical Degree"/>
    <n v="1"/>
    <n v="623"/>
    <x v="0"/>
    <x v="0"/>
    <x v="40"/>
    <x v="0"/>
    <x v="2"/>
    <x v="3"/>
    <x v="0"/>
    <x v="0"/>
    <x v="448"/>
    <x v="461"/>
    <x v="5"/>
    <s v="Y"/>
    <s v="No"/>
    <x v="8"/>
    <x v="0"/>
    <n v="4"/>
    <x v="0"/>
    <n v="0"/>
    <x v="4"/>
    <n v="3"/>
    <x v="3"/>
    <x v="0"/>
    <x v="4"/>
    <x v="1"/>
    <x v="3"/>
  </r>
  <r>
    <x v="21"/>
    <x v="1"/>
    <s v="Travel_Frequently"/>
    <n v="1034"/>
    <x v="1"/>
    <n v="18"/>
    <n v="1"/>
    <s v="Medical"/>
    <n v="1"/>
    <n v="624"/>
    <x v="3"/>
    <x v="0"/>
    <x v="27"/>
    <x v="0"/>
    <x v="2"/>
    <x v="4"/>
    <x v="2"/>
    <x v="1"/>
    <x v="449"/>
    <x v="462"/>
    <x v="6"/>
    <s v="Y"/>
    <s v="No"/>
    <x v="0"/>
    <x v="0"/>
    <n v="4"/>
    <x v="0"/>
    <n v="0"/>
    <x v="23"/>
    <n v="3"/>
    <x v="2"/>
    <x v="4"/>
    <x v="3"/>
    <x v="1"/>
    <x v="3"/>
  </r>
  <r>
    <x v="0"/>
    <x v="1"/>
    <s v="Travel_Rarely"/>
    <n v="1276"/>
    <x v="0"/>
    <n v="2"/>
    <n v="5"/>
    <s v="Life Sciences"/>
    <n v="1"/>
    <n v="625"/>
    <x v="0"/>
    <x v="0"/>
    <x v="59"/>
    <x v="0"/>
    <x v="3"/>
    <x v="5"/>
    <x v="3"/>
    <x v="1"/>
    <x v="450"/>
    <x v="463"/>
    <x v="8"/>
    <s v="Y"/>
    <s v="No"/>
    <x v="10"/>
    <x v="0"/>
    <n v="2"/>
    <x v="0"/>
    <n v="1"/>
    <x v="14"/>
    <n v="2"/>
    <x v="1"/>
    <x v="29"/>
    <x v="13"/>
    <x v="14"/>
    <x v="5"/>
  </r>
  <r>
    <x v="2"/>
    <x v="1"/>
    <s v="Non-Travel"/>
    <n v="142"/>
    <x v="0"/>
    <n v="9"/>
    <n v="4"/>
    <s v="Medical"/>
    <n v="1"/>
    <n v="626"/>
    <x v="3"/>
    <x v="1"/>
    <x v="68"/>
    <x v="0"/>
    <x v="2"/>
    <x v="0"/>
    <x v="1"/>
    <x v="2"/>
    <x v="451"/>
    <x v="464"/>
    <x v="1"/>
    <s v="Y"/>
    <s v="No"/>
    <x v="4"/>
    <x v="0"/>
    <n v="4"/>
    <x v="0"/>
    <n v="1"/>
    <x v="15"/>
    <n v="6"/>
    <x v="1"/>
    <x v="7"/>
    <x v="4"/>
    <x v="4"/>
    <x v="1"/>
  </r>
  <r>
    <x v="39"/>
    <x v="1"/>
    <s v="Travel_Rarely"/>
    <n v="956"/>
    <x v="1"/>
    <n v="6"/>
    <n v="2"/>
    <s v="Technical Degree"/>
    <n v="1"/>
    <n v="630"/>
    <x v="2"/>
    <x v="1"/>
    <x v="17"/>
    <x v="0"/>
    <x v="0"/>
    <x v="1"/>
    <x v="3"/>
    <x v="2"/>
    <x v="452"/>
    <x v="465"/>
    <x v="9"/>
    <s v="Y"/>
    <s v="Yes"/>
    <x v="3"/>
    <x v="0"/>
    <n v="2"/>
    <x v="0"/>
    <n v="2"/>
    <x v="33"/>
    <n v="3"/>
    <x v="1"/>
    <x v="1"/>
    <x v="5"/>
    <x v="7"/>
    <x v="12"/>
  </r>
  <r>
    <x v="5"/>
    <x v="0"/>
    <s v="Non-Travel"/>
    <n v="1474"/>
    <x v="0"/>
    <n v="11"/>
    <n v="4"/>
    <s v="Other"/>
    <n v="1"/>
    <n v="631"/>
    <x v="2"/>
    <x v="1"/>
    <x v="53"/>
    <x v="2"/>
    <x v="0"/>
    <x v="0"/>
    <x v="2"/>
    <x v="1"/>
    <x v="453"/>
    <x v="466"/>
    <x v="0"/>
    <s v="Y"/>
    <s v="No"/>
    <x v="3"/>
    <x v="0"/>
    <n v="4"/>
    <x v="0"/>
    <n v="0"/>
    <x v="3"/>
    <n v="2"/>
    <x v="1"/>
    <x v="9"/>
    <x v="3"/>
    <x v="1"/>
    <x v="3"/>
  </r>
  <r>
    <x v="17"/>
    <x v="1"/>
    <s v="Travel_Frequently"/>
    <n v="535"/>
    <x v="0"/>
    <n v="24"/>
    <n v="3"/>
    <s v="Medical"/>
    <n v="1"/>
    <n v="632"/>
    <x v="2"/>
    <x v="1"/>
    <x v="70"/>
    <x v="0"/>
    <x v="1"/>
    <x v="6"/>
    <x v="0"/>
    <x v="1"/>
    <x v="454"/>
    <x v="467"/>
    <x v="4"/>
    <s v="Y"/>
    <s v="No"/>
    <x v="4"/>
    <x v="0"/>
    <n v="3"/>
    <x v="0"/>
    <n v="2"/>
    <x v="8"/>
    <n v="3"/>
    <x v="1"/>
    <x v="4"/>
    <x v="3"/>
    <x v="3"/>
    <x v="9"/>
  </r>
  <r>
    <x v="8"/>
    <x v="1"/>
    <s v="Travel_Rarely"/>
    <n v="1495"/>
    <x v="1"/>
    <n v="10"/>
    <n v="3"/>
    <s v="Medical"/>
    <n v="1"/>
    <n v="634"/>
    <x v="1"/>
    <x v="0"/>
    <x v="43"/>
    <x v="0"/>
    <x v="0"/>
    <x v="4"/>
    <x v="2"/>
    <x v="1"/>
    <x v="427"/>
    <x v="468"/>
    <x v="9"/>
    <s v="Y"/>
    <s v="No"/>
    <x v="12"/>
    <x v="0"/>
    <n v="3"/>
    <x v="0"/>
    <n v="1"/>
    <x v="33"/>
    <n v="4"/>
    <x v="1"/>
    <x v="6"/>
    <x v="2"/>
    <x v="0"/>
    <x v="2"/>
  </r>
  <r>
    <x v="2"/>
    <x v="1"/>
    <s v="Travel_Rarely"/>
    <n v="446"/>
    <x v="1"/>
    <n v="1"/>
    <n v="4"/>
    <s v="Life Sciences"/>
    <n v="1"/>
    <n v="635"/>
    <x v="0"/>
    <x v="0"/>
    <x v="63"/>
    <x v="0"/>
    <x v="0"/>
    <x v="3"/>
    <x v="1"/>
    <x v="1"/>
    <x v="455"/>
    <x v="469"/>
    <x v="2"/>
    <s v="Y"/>
    <s v="No"/>
    <x v="3"/>
    <x v="0"/>
    <n v="2"/>
    <x v="0"/>
    <n v="1"/>
    <x v="0"/>
    <n v="2"/>
    <x v="2"/>
    <x v="0"/>
    <x v="4"/>
    <x v="5"/>
    <x v="6"/>
  </r>
  <r>
    <x v="1"/>
    <x v="1"/>
    <s v="Travel_Rarely"/>
    <n v="1245"/>
    <x v="1"/>
    <n v="18"/>
    <n v="4"/>
    <s v="Life Sciences"/>
    <n v="1"/>
    <n v="638"/>
    <x v="2"/>
    <x v="1"/>
    <x v="22"/>
    <x v="1"/>
    <x v="4"/>
    <x v="7"/>
    <x v="2"/>
    <x v="2"/>
    <x v="456"/>
    <x v="470"/>
    <x v="1"/>
    <s v="Y"/>
    <s v="Yes"/>
    <x v="8"/>
    <x v="0"/>
    <n v="3"/>
    <x v="0"/>
    <n v="1"/>
    <x v="9"/>
    <n v="5"/>
    <x v="1"/>
    <x v="31"/>
    <x v="5"/>
    <x v="0"/>
    <x v="12"/>
  </r>
  <r>
    <x v="17"/>
    <x v="1"/>
    <s v="Travel_Rarely"/>
    <n v="691"/>
    <x v="1"/>
    <n v="23"/>
    <n v="3"/>
    <s v="Medical"/>
    <n v="1"/>
    <n v="639"/>
    <x v="0"/>
    <x v="1"/>
    <x v="66"/>
    <x v="2"/>
    <x v="1"/>
    <x v="1"/>
    <x v="0"/>
    <x v="1"/>
    <x v="457"/>
    <x v="471"/>
    <x v="1"/>
    <s v="Y"/>
    <s v="Yes"/>
    <x v="0"/>
    <x v="0"/>
    <n v="2"/>
    <x v="0"/>
    <n v="2"/>
    <x v="3"/>
    <n v="3"/>
    <x v="1"/>
    <x v="0"/>
    <x v="4"/>
    <x v="1"/>
    <x v="10"/>
  </r>
  <r>
    <x v="25"/>
    <x v="1"/>
    <s v="Travel_Rarely"/>
    <n v="703"/>
    <x v="0"/>
    <n v="28"/>
    <n v="2"/>
    <s v="Marketing"/>
    <n v="1"/>
    <n v="641"/>
    <x v="3"/>
    <x v="1"/>
    <x v="45"/>
    <x v="0"/>
    <x v="0"/>
    <x v="0"/>
    <x v="1"/>
    <x v="1"/>
    <x v="458"/>
    <x v="472"/>
    <x v="1"/>
    <s v="Y"/>
    <s v="No"/>
    <x v="5"/>
    <x v="1"/>
    <n v="4"/>
    <x v="0"/>
    <n v="2"/>
    <x v="3"/>
    <n v="5"/>
    <x v="3"/>
    <x v="8"/>
    <x v="7"/>
    <x v="1"/>
    <x v="10"/>
  </r>
  <r>
    <x v="17"/>
    <x v="1"/>
    <s v="Travel_Rarely"/>
    <n v="823"/>
    <x v="1"/>
    <n v="17"/>
    <n v="2"/>
    <s v="Other"/>
    <n v="1"/>
    <n v="643"/>
    <x v="2"/>
    <x v="1"/>
    <x v="0"/>
    <x v="1"/>
    <x v="1"/>
    <x v="2"/>
    <x v="1"/>
    <x v="1"/>
    <x v="459"/>
    <x v="473"/>
    <x v="1"/>
    <s v="Y"/>
    <s v="No"/>
    <x v="7"/>
    <x v="1"/>
    <n v="4"/>
    <x v="0"/>
    <n v="1"/>
    <x v="5"/>
    <n v="2"/>
    <x v="1"/>
    <x v="6"/>
    <x v="2"/>
    <x v="0"/>
    <x v="2"/>
  </r>
  <r>
    <x v="24"/>
    <x v="1"/>
    <s v="Travel_Frequently"/>
    <n v="1246"/>
    <x v="2"/>
    <n v="3"/>
    <n v="3"/>
    <s v="Medical"/>
    <n v="1"/>
    <n v="644"/>
    <x v="3"/>
    <x v="1"/>
    <x v="39"/>
    <x v="0"/>
    <x v="4"/>
    <x v="5"/>
    <x v="1"/>
    <x v="1"/>
    <x v="460"/>
    <x v="474"/>
    <x v="1"/>
    <s v="Y"/>
    <s v="No"/>
    <x v="0"/>
    <x v="0"/>
    <n v="3"/>
    <x v="0"/>
    <n v="1"/>
    <x v="36"/>
    <n v="2"/>
    <x v="1"/>
    <x v="32"/>
    <x v="4"/>
    <x v="13"/>
    <x v="1"/>
  </r>
  <r>
    <x v="36"/>
    <x v="1"/>
    <s v="Travel_Rarely"/>
    <n v="622"/>
    <x v="0"/>
    <n v="13"/>
    <n v="1"/>
    <s v="Medical"/>
    <n v="1"/>
    <n v="645"/>
    <x v="0"/>
    <x v="1"/>
    <x v="4"/>
    <x v="0"/>
    <x v="1"/>
    <x v="6"/>
    <x v="2"/>
    <x v="1"/>
    <x v="461"/>
    <x v="475"/>
    <x v="1"/>
    <s v="Y"/>
    <s v="No"/>
    <x v="0"/>
    <x v="0"/>
    <n v="3"/>
    <x v="0"/>
    <n v="0"/>
    <x v="2"/>
    <n v="1"/>
    <x v="1"/>
    <x v="5"/>
    <x v="0"/>
    <x v="0"/>
    <x v="4"/>
  </r>
  <r>
    <x v="17"/>
    <x v="0"/>
    <s v="Travel_Frequently"/>
    <n v="1287"/>
    <x v="1"/>
    <n v="7"/>
    <n v="3"/>
    <s v="Life Sciences"/>
    <n v="1"/>
    <n v="647"/>
    <x v="3"/>
    <x v="0"/>
    <x v="46"/>
    <x v="0"/>
    <x v="1"/>
    <x v="2"/>
    <x v="2"/>
    <x v="1"/>
    <x v="407"/>
    <x v="476"/>
    <x v="1"/>
    <s v="Y"/>
    <s v="Yes"/>
    <x v="10"/>
    <x v="0"/>
    <n v="4"/>
    <x v="0"/>
    <n v="1"/>
    <x v="3"/>
    <n v="4"/>
    <x v="1"/>
    <x v="0"/>
    <x v="7"/>
    <x v="1"/>
    <x v="3"/>
  </r>
  <r>
    <x v="7"/>
    <x v="0"/>
    <s v="Travel_Frequently"/>
    <n v="448"/>
    <x v="0"/>
    <n v="12"/>
    <n v="4"/>
    <s v="Life Sciences"/>
    <n v="1"/>
    <n v="648"/>
    <x v="0"/>
    <x v="1"/>
    <x v="69"/>
    <x v="1"/>
    <x v="1"/>
    <x v="6"/>
    <x v="3"/>
    <x v="1"/>
    <x v="462"/>
    <x v="477"/>
    <x v="1"/>
    <s v="Y"/>
    <s v="No"/>
    <x v="11"/>
    <x v="0"/>
    <n v="3"/>
    <x v="0"/>
    <n v="1"/>
    <x v="5"/>
    <n v="2"/>
    <x v="3"/>
    <x v="6"/>
    <x v="2"/>
    <x v="0"/>
    <x v="2"/>
  </r>
  <r>
    <x v="13"/>
    <x v="1"/>
    <s v="Travel_Rarely"/>
    <n v="254"/>
    <x v="1"/>
    <n v="1"/>
    <n v="2"/>
    <s v="Life Sciences"/>
    <n v="1"/>
    <n v="649"/>
    <x v="0"/>
    <x v="1"/>
    <x v="21"/>
    <x v="1"/>
    <x v="1"/>
    <x v="1"/>
    <x v="0"/>
    <x v="1"/>
    <x v="463"/>
    <x v="478"/>
    <x v="1"/>
    <s v="Y"/>
    <s v="Yes"/>
    <x v="4"/>
    <x v="0"/>
    <n v="4"/>
    <x v="0"/>
    <n v="1"/>
    <x v="3"/>
    <n v="3"/>
    <x v="1"/>
    <x v="0"/>
    <x v="4"/>
    <x v="1"/>
    <x v="6"/>
  </r>
  <r>
    <x v="12"/>
    <x v="0"/>
    <s v="Travel_Rarely"/>
    <n v="1365"/>
    <x v="0"/>
    <n v="13"/>
    <n v="4"/>
    <s v="Medical"/>
    <n v="1"/>
    <n v="650"/>
    <x v="0"/>
    <x v="1"/>
    <x v="55"/>
    <x v="0"/>
    <x v="0"/>
    <x v="0"/>
    <x v="3"/>
    <x v="2"/>
    <x v="464"/>
    <x v="479"/>
    <x v="7"/>
    <s v="Y"/>
    <s v="No"/>
    <x v="8"/>
    <x v="0"/>
    <n v="3"/>
    <x v="0"/>
    <n v="0"/>
    <x v="15"/>
    <n v="2"/>
    <x v="0"/>
    <x v="11"/>
    <x v="10"/>
    <x v="1"/>
    <x v="3"/>
  </r>
  <r>
    <x v="10"/>
    <x v="1"/>
    <s v="Travel_Rarely"/>
    <n v="538"/>
    <x v="1"/>
    <n v="25"/>
    <n v="2"/>
    <s v="Other"/>
    <n v="1"/>
    <n v="652"/>
    <x v="3"/>
    <x v="1"/>
    <x v="60"/>
    <x v="1"/>
    <x v="0"/>
    <x v="2"/>
    <x v="0"/>
    <x v="0"/>
    <x v="465"/>
    <x v="480"/>
    <x v="5"/>
    <s v="Y"/>
    <s v="No"/>
    <x v="9"/>
    <x v="0"/>
    <n v="4"/>
    <x v="0"/>
    <n v="0"/>
    <x v="15"/>
    <n v="3"/>
    <x v="1"/>
    <x v="11"/>
    <x v="3"/>
    <x v="0"/>
    <x v="3"/>
  </r>
  <r>
    <x v="12"/>
    <x v="1"/>
    <s v="Travel_Rarely"/>
    <n v="525"/>
    <x v="0"/>
    <n v="6"/>
    <n v="4"/>
    <s v="Medical"/>
    <n v="1"/>
    <n v="653"/>
    <x v="3"/>
    <x v="1"/>
    <x v="45"/>
    <x v="2"/>
    <x v="0"/>
    <x v="0"/>
    <x v="0"/>
    <x v="2"/>
    <x v="466"/>
    <x v="481"/>
    <x v="5"/>
    <s v="Y"/>
    <s v="No"/>
    <x v="6"/>
    <x v="1"/>
    <n v="4"/>
    <x v="0"/>
    <n v="2"/>
    <x v="10"/>
    <n v="4"/>
    <x v="3"/>
    <x v="5"/>
    <x v="1"/>
    <x v="8"/>
    <x v="1"/>
  </r>
  <r>
    <x v="4"/>
    <x v="1"/>
    <s v="Travel_Rarely"/>
    <n v="798"/>
    <x v="1"/>
    <n v="6"/>
    <n v="4"/>
    <s v="Medical"/>
    <n v="1"/>
    <n v="655"/>
    <x v="3"/>
    <x v="0"/>
    <x v="45"/>
    <x v="1"/>
    <x v="1"/>
    <x v="1"/>
    <x v="2"/>
    <x v="2"/>
    <x v="467"/>
    <x v="482"/>
    <x v="4"/>
    <s v="Y"/>
    <s v="No"/>
    <x v="3"/>
    <x v="0"/>
    <n v="3"/>
    <x v="0"/>
    <n v="2"/>
    <x v="3"/>
    <n v="5"/>
    <x v="2"/>
    <x v="8"/>
    <x v="7"/>
    <x v="0"/>
    <x v="6"/>
  </r>
  <r>
    <x v="2"/>
    <x v="1"/>
    <s v="Travel_Rarely"/>
    <n v="558"/>
    <x v="0"/>
    <n v="2"/>
    <n v="3"/>
    <s v="Marketing"/>
    <n v="1"/>
    <n v="656"/>
    <x v="2"/>
    <x v="1"/>
    <x v="29"/>
    <x v="0"/>
    <x v="0"/>
    <x v="0"/>
    <x v="2"/>
    <x v="1"/>
    <x v="468"/>
    <x v="483"/>
    <x v="5"/>
    <s v="Y"/>
    <s v="Yes"/>
    <x v="0"/>
    <x v="0"/>
    <n v="3"/>
    <x v="0"/>
    <n v="1"/>
    <x v="6"/>
    <n v="3"/>
    <x v="2"/>
    <x v="11"/>
    <x v="2"/>
    <x v="1"/>
    <x v="2"/>
  </r>
  <r>
    <x v="35"/>
    <x v="1"/>
    <s v="Travel_Rarely"/>
    <n v="959"/>
    <x v="1"/>
    <n v="1"/>
    <n v="3"/>
    <s v="Life Sciences"/>
    <n v="1"/>
    <n v="657"/>
    <x v="2"/>
    <x v="0"/>
    <x v="21"/>
    <x v="1"/>
    <x v="1"/>
    <x v="1"/>
    <x v="1"/>
    <x v="0"/>
    <x v="469"/>
    <x v="484"/>
    <x v="1"/>
    <s v="Y"/>
    <s v="No"/>
    <x v="4"/>
    <x v="0"/>
    <n v="4"/>
    <x v="0"/>
    <n v="0"/>
    <x v="5"/>
    <n v="0"/>
    <x v="3"/>
    <x v="6"/>
    <x v="2"/>
    <x v="0"/>
    <x v="2"/>
  </r>
  <r>
    <x v="19"/>
    <x v="1"/>
    <s v="Travel_Rarely"/>
    <n v="622"/>
    <x v="1"/>
    <n v="2"/>
    <n v="4"/>
    <s v="Life Sciences"/>
    <n v="1"/>
    <n v="659"/>
    <x v="1"/>
    <x v="0"/>
    <x v="6"/>
    <x v="0"/>
    <x v="0"/>
    <x v="4"/>
    <x v="0"/>
    <x v="1"/>
    <x v="470"/>
    <x v="485"/>
    <x v="1"/>
    <s v="Y"/>
    <s v="No"/>
    <x v="4"/>
    <x v="0"/>
    <n v="2"/>
    <x v="0"/>
    <n v="2"/>
    <x v="1"/>
    <n v="4"/>
    <x v="1"/>
    <x v="1"/>
    <x v="3"/>
    <x v="3"/>
    <x v="3"/>
  </r>
  <r>
    <x v="23"/>
    <x v="1"/>
    <s v="Travel_Rarely"/>
    <n v="782"/>
    <x v="1"/>
    <n v="6"/>
    <n v="4"/>
    <s v="Other"/>
    <n v="1"/>
    <n v="661"/>
    <x v="0"/>
    <x v="1"/>
    <x v="13"/>
    <x v="1"/>
    <x v="3"/>
    <x v="7"/>
    <x v="0"/>
    <x v="2"/>
    <x v="471"/>
    <x v="486"/>
    <x v="5"/>
    <s v="Y"/>
    <s v="Yes"/>
    <x v="9"/>
    <x v="0"/>
    <n v="3"/>
    <x v="0"/>
    <n v="1"/>
    <x v="24"/>
    <n v="3"/>
    <x v="2"/>
    <x v="6"/>
    <x v="2"/>
    <x v="0"/>
    <x v="2"/>
  </r>
  <r>
    <x v="8"/>
    <x v="1"/>
    <s v="Travel_Rarely"/>
    <n v="362"/>
    <x v="1"/>
    <n v="1"/>
    <n v="1"/>
    <s v="Life Sciences"/>
    <n v="1"/>
    <n v="662"/>
    <x v="1"/>
    <x v="0"/>
    <x v="38"/>
    <x v="0"/>
    <x v="1"/>
    <x v="1"/>
    <x v="3"/>
    <x v="0"/>
    <x v="472"/>
    <x v="487"/>
    <x v="9"/>
    <s v="Y"/>
    <s v="No"/>
    <x v="8"/>
    <x v="0"/>
    <n v="4"/>
    <x v="0"/>
    <n v="0"/>
    <x v="0"/>
    <n v="3"/>
    <x v="2"/>
    <x v="2"/>
    <x v="2"/>
    <x v="0"/>
    <x v="2"/>
  </r>
  <r>
    <x v="23"/>
    <x v="1"/>
    <s v="Travel_Frequently"/>
    <n v="1001"/>
    <x v="1"/>
    <n v="9"/>
    <n v="5"/>
    <s v="Medical"/>
    <n v="1"/>
    <n v="663"/>
    <x v="2"/>
    <x v="1"/>
    <x v="23"/>
    <x v="0"/>
    <x v="0"/>
    <x v="2"/>
    <x v="2"/>
    <x v="2"/>
    <x v="473"/>
    <x v="488"/>
    <x v="9"/>
    <s v="Y"/>
    <s v="Yes"/>
    <x v="4"/>
    <x v="0"/>
    <n v="2"/>
    <x v="0"/>
    <n v="1"/>
    <x v="1"/>
    <n v="3"/>
    <x v="1"/>
    <x v="3"/>
    <x v="1"/>
    <x v="5"/>
    <x v="1"/>
  </r>
  <r>
    <x v="26"/>
    <x v="1"/>
    <s v="Travel_Rarely"/>
    <n v="1236"/>
    <x v="1"/>
    <n v="1"/>
    <n v="4"/>
    <s v="Life Sciences"/>
    <n v="1"/>
    <n v="664"/>
    <x v="2"/>
    <x v="0"/>
    <x v="4"/>
    <x v="1"/>
    <x v="3"/>
    <x v="5"/>
    <x v="3"/>
    <x v="1"/>
    <x v="474"/>
    <x v="489"/>
    <x v="8"/>
    <s v="Y"/>
    <s v="No"/>
    <x v="0"/>
    <x v="0"/>
    <n v="1"/>
    <x v="0"/>
    <n v="1"/>
    <x v="24"/>
    <n v="3"/>
    <x v="0"/>
    <x v="11"/>
    <x v="3"/>
    <x v="0"/>
    <x v="3"/>
  </r>
  <r>
    <x v="20"/>
    <x v="1"/>
    <s v="Travel_Rarely"/>
    <n v="1112"/>
    <x v="2"/>
    <n v="1"/>
    <n v="4"/>
    <s v="Life Sciences"/>
    <n v="1"/>
    <n v="665"/>
    <x v="3"/>
    <x v="0"/>
    <x v="13"/>
    <x v="1"/>
    <x v="0"/>
    <x v="8"/>
    <x v="2"/>
    <x v="0"/>
    <x v="475"/>
    <x v="490"/>
    <x v="5"/>
    <s v="Y"/>
    <s v="No"/>
    <x v="0"/>
    <x v="0"/>
    <n v="2"/>
    <x v="0"/>
    <n v="0"/>
    <x v="1"/>
    <n v="1"/>
    <x v="3"/>
    <x v="4"/>
    <x v="3"/>
    <x v="0"/>
    <x v="3"/>
  </r>
  <r>
    <x v="13"/>
    <x v="1"/>
    <s v="Travel_Rarely"/>
    <n v="204"/>
    <x v="0"/>
    <n v="14"/>
    <n v="3"/>
    <s v="Technical Degree"/>
    <n v="1"/>
    <n v="666"/>
    <x v="1"/>
    <x v="0"/>
    <x v="11"/>
    <x v="0"/>
    <x v="1"/>
    <x v="6"/>
    <x v="2"/>
    <x v="2"/>
    <x v="476"/>
    <x v="491"/>
    <x v="1"/>
    <s v="Y"/>
    <s v="Yes"/>
    <x v="11"/>
    <x v="0"/>
    <n v="4"/>
    <x v="0"/>
    <n v="2"/>
    <x v="0"/>
    <n v="3"/>
    <x v="1"/>
    <x v="3"/>
    <x v="3"/>
    <x v="0"/>
    <x v="4"/>
  </r>
  <r>
    <x v="4"/>
    <x v="0"/>
    <s v="Travel_Rarely"/>
    <n v="1420"/>
    <x v="0"/>
    <n v="2"/>
    <n v="1"/>
    <s v="Marketing"/>
    <n v="1"/>
    <n v="667"/>
    <x v="1"/>
    <x v="1"/>
    <x v="65"/>
    <x v="0"/>
    <x v="1"/>
    <x v="6"/>
    <x v="3"/>
    <x v="2"/>
    <x v="477"/>
    <x v="492"/>
    <x v="4"/>
    <s v="Y"/>
    <s v="No"/>
    <x v="0"/>
    <x v="0"/>
    <n v="2"/>
    <x v="0"/>
    <n v="1"/>
    <x v="7"/>
    <n v="3"/>
    <x v="1"/>
    <x v="9"/>
    <x v="7"/>
    <x v="0"/>
    <x v="3"/>
  </r>
  <r>
    <x v="18"/>
    <x v="1"/>
    <s v="Travel_Rarely"/>
    <n v="1343"/>
    <x v="0"/>
    <n v="22"/>
    <n v="1"/>
    <s v="Technical Degree"/>
    <n v="1"/>
    <n v="669"/>
    <x v="1"/>
    <x v="1"/>
    <x v="10"/>
    <x v="0"/>
    <x v="1"/>
    <x v="6"/>
    <x v="2"/>
    <x v="0"/>
    <x v="478"/>
    <x v="493"/>
    <x v="1"/>
    <s v="Y"/>
    <s v="No"/>
    <x v="0"/>
    <x v="0"/>
    <n v="3"/>
    <x v="0"/>
    <n v="0"/>
    <x v="8"/>
    <n v="2"/>
    <x v="1"/>
    <x v="11"/>
    <x v="3"/>
    <x v="1"/>
    <x v="3"/>
  </r>
  <r>
    <x v="20"/>
    <x v="1"/>
    <s v="Travel_Rarely"/>
    <n v="1315"/>
    <x v="1"/>
    <n v="3"/>
    <n v="4"/>
    <s v="Other"/>
    <n v="1"/>
    <n v="671"/>
    <x v="2"/>
    <x v="1"/>
    <x v="58"/>
    <x v="0"/>
    <x v="4"/>
    <x v="5"/>
    <x v="0"/>
    <x v="1"/>
    <x v="479"/>
    <x v="494"/>
    <x v="5"/>
    <s v="Y"/>
    <s v="Yes"/>
    <x v="3"/>
    <x v="0"/>
    <n v="1"/>
    <x v="0"/>
    <n v="1"/>
    <x v="12"/>
    <n v="2"/>
    <x v="3"/>
    <x v="4"/>
    <x v="3"/>
    <x v="0"/>
    <x v="9"/>
  </r>
  <r>
    <x v="15"/>
    <x v="1"/>
    <s v="Travel_Rarely"/>
    <n v="604"/>
    <x v="1"/>
    <n v="6"/>
    <n v="1"/>
    <s v="Medical"/>
    <n v="1"/>
    <n v="675"/>
    <x v="3"/>
    <x v="1"/>
    <x v="68"/>
    <x v="0"/>
    <x v="1"/>
    <x v="1"/>
    <x v="2"/>
    <x v="1"/>
    <x v="480"/>
    <x v="495"/>
    <x v="4"/>
    <s v="Y"/>
    <s v="No"/>
    <x v="5"/>
    <x v="1"/>
    <n v="4"/>
    <x v="0"/>
    <n v="0"/>
    <x v="8"/>
    <n v="3"/>
    <x v="1"/>
    <x v="4"/>
    <x v="3"/>
    <x v="3"/>
    <x v="3"/>
  </r>
  <r>
    <x v="3"/>
    <x v="1"/>
    <s v="Travel_Rarely"/>
    <n v="1216"/>
    <x v="0"/>
    <n v="8"/>
    <n v="4"/>
    <s v="Marketing"/>
    <n v="1"/>
    <n v="677"/>
    <x v="1"/>
    <x v="1"/>
    <x v="56"/>
    <x v="0"/>
    <x v="0"/>
    <x v="0"/>
    <x v="2"/>
    <x v="2"/>
    <x v="481"/>
    <x v="496"/>
    <x v="4"/>
    <s v="Y"/>
    <s v="No"/>
    <x v="3"/>
    <x v="0"/>
    <n v="4"/>
    <x v="0"/>
    <n v="0"/>
    <x v="3"/>
    <n v="3"/>
    <x v="1"/>
    <x v="8"/>
    <x v="2"/>
    <x v="1"/>
    <x v="3"/>
  </r>
  <r>
    <x v="5"/>
    <x v="1"/>
    <s v="Travel_Rarely"/>
    <n v="646"/>
    <x v="1"/>
    <n v="9"/>
    <n v="4"/>
    <s v="Life Sciences"/>
    <n v="1"/>
    <n v="679"/>
    <x v="3"/>
    <x v="0"/>
    <x v="2"/>
    <x v="0"/>
    <x v="0"/>
    <x v="1"/>
    <x v="0"/>
    <x v="1"/>
    <x v="482"/>
    <x v="497"/>
    <x v="1"/>
    <s v="Y"/>
    <s v="Yes"/>
    <x v="3"/>
    <x v="0"/>
    <n v="4"/>
    <x v="0"/>
    <n v="1"/>
    <x v="3"/>
    <n v="2"/>
    <x v="2"/>
    <x v="0"/>
    <x v="0"/>
    <x v="0"/>
    <x v="0"/>
  </r>
  <r>
    <x v="7"/>
    <x v="1"/>
    <s v="Travel_Frequently"/>
    <n v="160"/>
    <x v="1"/>
    <n v="3"/>
    <n v="3"/>
    <s v="Medical"/>
    <n v="1"/>
    <n v="680"/>
    <x v="1"/>
    <x v="0"/>
    <x v="36"/>
    <x v="0"/>
    <x v="1"/>
    <x v="1"/>
    <x v="2"/>
    <x v="2"/>
    <x v="483"/>
    <x v="498"/>
    <x v="1"/>
    <s v="Y"/>
    <s v="No"/>
    <x v="5"/>
    <x v="1"/>
    <n v="3"/>
    <x v="0"/>
    <n v="1"/>
    <x v="5"/>
    <n v="2"/>
    <x v="1"/>
    <x v="6"/>
    <x v="2"/>
    <x v="0"/>
    <x v="2"/>
  </r>
  <r>
    <x v="16"/>
    <x v="1"/>
    <s v="Travel_Rarely"/>
    <n v="238"/>
    <x v="0"/>
    <n v="1"/>
    <n v="1"/>
    <s v="Medical"/>
    <n v="1"/>
    <n v="682"/>
    <x v="2"/>
    <x v="0"/>
    <x v="61"/>
    <x v="0"/>
    <x v="0"/>
    <x v="0"/>
    <x v="3"/>
    <x v="0"/>
    <x v="484"/>
    <x v="499"/>
    <x v="8"/>
    <s v="Y"/>
    <s v="No"/>
    <x v="5"/>
    <x v="1"/>
    <n v="4"/>
    <x v="0"/>
    <n v="0"/>
    <x v="33"/>
    <n v="2"/>
    <x v="3"/>
    <x v="13"/>
    <x v="1"/>
    <x v="6"/>
    <x v="13"/>
  </r>
  <r>
    <x v="13"/>
    <x v="1"/>
    <s v="Travel_Rarely"/>
    <n v="1397"/>
    <x v="1"/>
    <n v="1"/>
    <n v="5"/>
    <s v="Life Sciences"/>
    <n v="1"/>
    <n v="683"/>
    <x v="0"/>
    <x v="1"/>
    <x v="25"/>
    <x v="0"/>
    <x v="1"/>
    <x v="1"/>
    <x v="0"/>
    <x v="1"/>
    <x v="485"/>
    <x v="500"/>
    <x v="1"/>
    <s v="Y"/>
    <s v="No"/>
    <x v="3"/>
    <x v="0"/>
    <n v="4"/>
    <x v="0"/>
    <n v="1"/>
    <x v="1"/>
    <n v="4"/>
    <x v="2"/>
    <x v="1"/>
    <x v="5"/>
    <x v="6"/>
    <x v="5"/>
  </r>
  <r>
    <x v="28"/>
    <x v="0"/>
    <s v="Travel_Frequently"/>
    <n v="306"/>
    <x v="0"/>
    <n v="26"/>
    <n v="4"/>
    <s v="Life Sciences"/>
    <n v="1"/>
    <n v="684"/>
    <x v="3"/>
    <x v="0"/>
    <x v="54"/>
    <x v="0"/>
    <x v="0"/>
    <x v="0"/>
    <x v="3"/>
    <x v="1"/>
    <x v="486"/>
    <x v="501"/>
    <x v="7"/>
    <s v="Y"/>
    <s v="No"/>
    <x v="9"/>
    <x v="0"/>
    <n v="4"/>
    <x v="0"/>
    <n v="2"/>
    <x v="7"/>
    <n v="4"/>
    <x v="1"/>
    <x v="6"/>
    <x v="10"/>
    <x v="0"/>
    <x v="2"/>
  </r>
  <r>
    <x v="25"/>
    <x v="1"/>
    <s v="Travel_Rarely"/>
    <n v="991"/>
    <x v="1"/>
    <n v="6"/>
    <n v="3"/>
    <s v="Life Sciences"/>
    <n v="1"/>
    <n v="686"/>
    <x v="1"/>
    <x v="0"/>
    <x v="36"/>
    <x v="0"/>
    <x v="1"/>
    <x v="2"/>
    <x v="0"/>
    <x v="1"/>
    <x v="487"/>
    <x v="502"/>
    <x v="1"/>
    <s v="Y"/>
    <s v="Yes"/>
    <x v="4"/>
    <x v="0"/>
    <n v="3"/>
    <x v="0"/>
    <n v="1"/>
    <x v="8"/>
    <n v="2"/>
    <x v="1"/>
    <x v="11"/>
    <x v="3"/>
    <x v="0"/>
    <x v="3"/>
  </r>
  <r>
    <x v="2"/>
    <x v="1"/>
    <s v="Travel_Rarely"/>
    <n v="482"/>
    <x v="1"/>
    <n v="3"/>
    <n v="3"/>
    <s v="Other"/>
    <n v="1"/>
    <n v="689"/>
    <x v="1"/>
    <x v="1"/>
    <x v="34"/>
    <x v="0"/>
    <x v="2"/>
    <x v="3"/>
    <x v="2"/>
    <x v="1"/>
    <x v="488"/>
    <x v="503"/>
    <x v="1"/>
    <s v="Y"/>
    <s v="No"/>
    <x v="2"/>
    <x v="0"/>
    <n v="3"/>
    <x v="0"/>
    <n v="1"/>
    <x v="1"/>
    <n v="2"/>
    <x v="1"/>
    <x v="1"/>
    <x v="1"/>
    <x v="4"/>
    <x v="5"/>
  </r>
  <r>
    <x v="11"/>
    <x v="1"/>
    <s v="Travel_Rarely"/>
    <n v="1176"/>
    <x v="0"/>
    <n v="3"/>
    <n v="2"/>
    <s v="Medical"/>
    <n v="1"/>
    <n v="690"/>
    <x v="0"/>
    <x v="0"/>
    <x v="50"/>
    <x v="0"/>
    <x v="0"/>
    <x v="0"/>
    <x v="2"/>
    <x v="1"/>
    <x v="489"/>
    <x v="504"/>
    <x v="1"/>
    <s v="Y"/>
    <s v="No"/>
    <x v="9"/>
    <x v="0"/>
    <n v="1"/>
    <x v="0"/>
    <n v="1"/>
    <x v="3"/>
    <n v="5"/>
    <x v="2"/>
    <x v="0"/>
    <x v="2"/>
    <x v="1"/>
    <x v="3"/>
  </r>
  <r>
    <x v="10"/>
    <x v="1"/>
    <s v="Travel_Rarely"/>
    <n v="1017"/>
    <x v="1"/>
    <n v="6"/>
    <n v="4"/>
    <s v="Life Sciences"/>
    <n v="1"/>
    <n v="691"/>
    <x v="0"/>
    <x v="1"/>
    <x v="19"/>
    <x v="3"/>
    <x v="0"/>
    <x v="1"/>
    <x v="0"/>
    <x v="0"/>
    <x v="490"/>
    <x v="505"/>
    <x v="1"/>
    <s v="Y"/>
    <s v="No"/>
    <x v="4"/>
    <x v="0"/>
    <n v="2"/>
    <x v="0"/>
    <n v="0"/>
    <x v="6"/>
    <n v="3"/>
    <x v="1"/>
    <x v="18"/>
    <x v="14"/>
    <x v="14"/>
    <x v="5"/>
  </r>
  <r>
    <x v="3"/>
    <x v="1"/>
    <s v="Travel_Frequently"/>
    <n v="1296"/>
    <x v="1"/>
    <n v="6"/>
    <n v="3"/>
    <s v="Life Sciences"/>
    <n v="1"/>
    <n v="692"/>
    <x v="1"/>
    <x v="1"/>
    <x v="37"/>
    <x v="0"/>
    <x v="0"/>
    <x v="4"/>
    <x v="0"/>
    <x v="2"/>
    <x v="491"/>
    <x v="506"/>
    <x v="9"/>
    <s v="Y"/>
    <s v="No"/>
    <x v="1"/>
    <x v="1"/>
    <n v="3"/>
    <x v="0"/>
    <n v="1"/>
    <x v="20"/>
    <n v="2"/>
    <x v="0"/>
    <x v="20"/>
    <x v="14"/>
    <x v="5"/>
    <x v="1"/>
  </r>
  <r>
    <x v="33"/>
    <x v="1"/>
    <s v="Travel_Rarely"/>
    <n v="397"/>
    <x v="2"/>
    <n v="19"/>
    <n v="4"/>
    <s v="Medical"/>
    <n v="1"/>
    <n v="698"/>
    <x v="1"/>
    <x v="1"/>
    <x v="64"/>
    <x v="0"/>
    <x v="2"/>
    <x v="8"/>
    <x v="1"/>
    <x v="1"/>
    <x v="492"/>
    <x v="507"/>
    <x v="7"/>
    <s v="Y"/>
    <s v="No"/>
    <x v="2"/>
    <x v="0"/>
    <n v="3"/>
    <x v="0"/>
    <n v="1"/>
    <x v="28"/>
    <n v="1"/>
    <x v="3"/>
    <x v="7"/>
    <x v="1"/>
    <x v="4"/>
    <x v="9"/>
  </r>
  <r>
    <x v="9"/>
    <x v="1"/>
    <s v="Travel_Rarely"/>
    <n v="913"/>
    <x v="1"/>
    <n v="9"/>
    <n v="2"/>
    <s v="Medical"/>
    <n v="1"/>
    <n v="699"/>
    <x v="0"/>
    <x v="1"/>
    <x v="24"/>
    <x v="1"/>
    <x v="0"/>
    <x v="3"/>
    <x v="1"/>
    <x v="2"/>
    <x v="493"/>
    <x v="508"/>
    <x v="7"/>
    <s v="Y"/>
    <s v="Yes"/>
    <x v="0"/>
    <x v="0"/>
    <n v="3"/>
    <x v="0"/>
    <n v="1"/>
    <x v="10"/>
    <n v="2"/>
    <x v="1"/>
    <x v="11"/>
    <x v="3"/>
    <x v="0"/>
    <x v="3"/>
  </r>
  <r>
    <x v="4"/>
    <x v="1"/>
    <s v="Travel_Rarely"/>
    <n v="1115"/>
    <x v="1"/>
    <n v="3"/>
    <n v="4"/>
    <s v="Medical"/>
    <n v="1"/>
    <n v="700"/>
    <x v="3"/>
    <x v="1"/>
    <x v="60"/>
    <x v="1"/>
    <x v="1"/>
    <x v="1"/>
    <x v="0"/>
    <x v="0"/>
    <x v="494"/>
    <x v="509"/>
    <x v="4"/>
    <s v="Y"/>
    <s v="No"/>
    <x v="4"/>
    <x v="0"/>
    <n v="4"/>
    <x v="0"/>
    <n v="0"/>
    <x v="7"/>
    <n v="0"/>
    <x v="1"/>
    <x v="9"/>
    <x v="3"/>
    <x v="1"/>
    <x v="9"/>
  </r>
  <r>
    <x v="35"/>
    <x v="0"/>
    <s v="Travel_Rarely"/>
    <n v="1362"/>
    <x v="1"/>
    <n v="10"/>
    <n v="1"/>
    <s v="Medical"/>
    <n v="1"/>
    <n v="701"/>
    <x v="2"/>
    <x v="1"/>
    <x v="47"/>
    <x v="0"/>
    <x v="1"/>
    <x v="1"/>
    <x v="2"/>
    <x v="0"/>
    <x v="495"/>
    <x v="510"/>
    <x v="1"/>
    <s v="Y"/>
    <s v="Yes"/>
    <x v="0"/>
    <x v="0"/>
    <n v="4"/>
    <x v="0"/>
    <n v="0"/>
    <x v="5"/>
    <n v="5"/>
    <x v="1"/>
    <x v="6"/>
    <x v="2"/>
    <x v="1"/>
    <x v="9"/>
  </r>
  <r>
    <x v="3"/>
    <x v="0"/>
    <s v="Travel_Frequently"/>
    <n v="1076"/>
    <x v="1"/>
    <n v="3"/>
    <n v="3"/>
    <s v="Life Sciences"/>
    <n v="1"/>
    <n v="702"/>
    <x v="3"/>
    <x v="1"/>
    <x v="49"/>
    <x v="0"/>
    <x v="1"/>
    <x v="1"/>
    <x v="3"/>
    <x v="0"/>
    <x v="496"/>
    <x v="511"/>
    <x v="1"/>
    <s v="Y"/>
    <s v="Yes"/>
    <x v="0"/>
    <x v="0"/>
    <n v="1"/>
    <x v="0"/>
    <n v="0"/>
    <x v="1"/>
    <n v="3"/>
    <x v="1"/>
    <x v="1"/>
    <x v="6"/>
    <x v="10"/>
    <x v="1"/>
  </r>
  <r>
    <x v="10"/>
    <x v="1"/>
    <s v="Non-Travel"/>
    <n v="727"/>
    <x v="1"/>
    <n v="3"/>
    <n v="3"/>
    <s v="Life Sciences"/>
    <n v="1"/>
    <n v="704"/>
    <x v="1"/>
    <x v="1"/>
    <x v="26"/>
    <x v="1"/>
    <x v="1"/>
    <x v="2"/>
    <x v="2"/>
    <x v="1"/>
    <x v="497"/>
    <x v="512"/>
    <x v="1"/>
    <s v="Y"/>
    <s v="No"/>
    <x v="11"/>
    <x v="0"/>
    <n v="3"/>
    <x v="0"/>
    <n v="2"/>
    <x v="5"/>
    <n v="3"/>
    <x v="1"/>
    <x v="6"/>
    <x v="2"/>
    <x v="0"/>
    <x v="2"/>
  </r>
  <r>
    <x v="30"/>
    <x v="1"/>
    <s v="Travel_Rarely"/>
    <n v="885"/>
    <x v="1"/>
    <n v="4"/>
    <n v="3"/>
    <s v="Medical"/>
    <n v="1"/>
    <n v="705"/>
    <x v="3"/>
    <x v="1"/>
    <x v="22"/>
    <x v="2"/>
    <x v="1"/>
    <x v="1"/>
    <x v="3"/>
    <x v="1"/>
    <x v="498"/>
    <x v="513"/>
    <x v="7"/>
    <s v="Y"/>
    <s v="No"/>
    <x v="10"/>
    <x v="0"/>
    <n v="1"/>
    <x v="0"/>
    <n v="1"/>
    <x v="7"/>
    <n v="3"/>
    <x v="3"/>
    <x v="11"/>
    <x v="3"/>
    <x v="0"/>
    <x v="3"/>
  </r>
  <r>
    <x v="36"/>
    <x v="1"/>
    <s v="Travel_Rarely"/>
    <n v="810"/>
    <x v="0"/>
    <n v="8"/>
    <n v="3"/>
    <s v="Life Sciences"/>
    <n v="1"/>
    <n v="707"/>
    <x v="2"/>
    <x v="1"/>
    <x v="42"/>
    <x v="2"/>
    <x v="0"/>
    <x v="0"/>
    <x v="1"/>
    <x v="1"/>
    <x v="499"/>
    <x v="514"/>
    <x v="4"/>
    <s v="Y"/>
    <s v="No"/>
    <x v="6"/>
    <x v="1"/>
    <n v="3"/>
    <x v="0"/>
    <n v="1"/>
    <x v="21"/>
    <n v="4"/>
    <x v="1"/>
    <x v="11"/>
    <x v="3"/>
    <x v="1"/>
    <x v="3"/>
  </r>
  <r>
    <x v="8"/>
    <x v="1"/>
    <s v="Travel_Rarely"/>
    <n v="243"/>
    <x v="0"/>
    <n v="7"/>
    <n v="4"/>
    <s v="Marketing"/>
    <n v="1"/>
    <n v="709"/>
    <x v="2"/>
    <x v="0"/>
    <x v="55"/>
    <x v="1"/>
    <x v="0"/>
    <x v="0"/>
    <x v="0"/>
    <x v="0"/>
    <x v="500"/>
    <x v="515"/>
    <x v="4"/>
    <s v="Y"/>
    <s v="No"/>
    <x v="5"/>
    <x v="1"/>
    <n v="1"/>
    <x v="0"/>
    <n v="0"/>
    <x v="0"/>
    <n v="2"/>
    <x v="1"/>
    <x v="5"/>
    <x v="1"/>
    <x v="0"/>
    <x v="0"/>
  </r>
  <r>
    <x v="11"/>
    <x v="1"/>
    <s v="Travel_Frequently"/>
    <n v="806"/>
    <x v="1"/>
    <n v="1"/>
    <n v="4"/>
    <s v="Life Sciences"/>
    <n v="1"/>
    <n v="710"/>
    <x v="0"/>
    <x v="1"/>
    <x v="43"/>
    <x v="3"/>
    <x v="1"/>
    <x v="1"/>
    <x v="0"/>
    <x v="2"/>
    <x v="143"/>
    <x v="516"/>
    <x v="1"/>
    <s v="Y"/>
    <s v="No"/>
    <x v="11"/>
    <x v="0"/>
    <n v="4"/>
    <x v="0"/>
    <n v="1"/>
    <x v="1"/>
    <n v="5"/>
    <x v="1"/>
    <x v="1"/>
    <x v="1"/>
    <x v="3"/>
    <x v="5"/>
  </r>
  <r>
    <x v="26"/>
    <x v="1"/>
    <s v="Travel_Rarely"/>
    <n v="817"/>
    <x v="0"/>
    <n v="2"/>
    <n v="1"/>
    <s v="Marketing"/>
    <n v="1"/>
    <n v="712"/>
    <x v="0"/>
    <x v="1"/>
    <x v="3"/>
    <x v="2"/>
    <x v="0"/>
    <x v="0"/>
    <x v="1"/>
    <x v="1"/>
    <x v="501"/>
    <x v="517"/>
    <x v="9"/>
    <s v="Y"/>
    <s v="No"/>
    <x v="3"/>
    <x v="0"/>
    <n v="4"/>
    <x v="0"/>
    <n v="0"/>
    <x v="4"/>
    <n v="3"/>
    <x v="1"/>
    <x v="4"/>
    <x v="3"/>
    <x v="3"/>
    <x v="3"/>
  </r>
  <r>
    <x v="4"/>
    <x v="1"/>
    <s v="Travel_Frequently"/>
    <n v="1410"/>
    <x v="0"/>
    <n v="3"/>
    <n v="1"/>
    <s v="Medical"/>
    <n v="1"/>
    <n v="714"/>
    <x v="2"/>
    <x v="0"/>
    <x v="36"/>
    <x v="2"/>
    <x v="0"/>
    <x v="0"/>
    <x v="0"/>
    <x v="2"/>
    <x v="502"/>
    <x v="518"/>
    <x v="1"/>
    <s v="Y"/>
    <s v="Yes"/>
    <x v="5"/>
    <x v="1"/>
    <n v="2"/>
    <x v="0"/>
    <n v="2"/>
    <x v="3"/>
    <n v="3"/>
    <x v="1"/>
    <x v="0"/>
    <x v="4"/>
    <x v="0"/>
    <x v="10"/>
  </r>
  <r>
    <x v="2"/>
    <x v="1"/>
    <s v="Travel_Rarely"/>
    <n v="1225"/>
    <x v="1"/>
    <n v="10"/>
    <n v="2"/>
    <s v="Life Sciences"/>
    <n v="1"/>
    <n v="715"/>
    <x v="2"/>
    <x v="1"/>
    <x v="15"/>
    <x v="2"/>
    <x v="1"/>
    <x v="1"/>
    <x v="0"/>
    <x v="0"/>
    <x v="503"/>
    <x v="519"/>
    <x v="9"/>
    <s v="Y"/>
    <s v="No"/>
    <x v="8"/>
    <x v="0"/>
    <n v="1"/>
    <x v="0"/>
    <n v="0"/>
    <x v="21"/>
    <n v="2"/>
    <x v="1"/>
    <x v="6"/>
    <x v="2"/>
    <x v="0"/>
    <x v="2"/>
  </r>
  <r>
    <x v="24"/>
    <x v="1"/>
    <s v="Travel_Rarely"/>
    <n v="1207"/>
    <x v="1"/>
    <n v="28"/>
    <n v="1"/>
    <s v="Medical"/>
    <n v="1"/>
    <n v="716"/>
    <x v="2"/>
    <x v="1"/>
    <x v="69"/>
    <x v="2"/>
    <x v="1"/>
    <x v="2"/>
    <x v="2"/>
    <x v="1"/>
    <x v="504"/>
    <x v="520"/>
    <x v="1"/>
    <s v="Y"/>
    <s v="Yes"/>
    <x v="0"/>
    <x v="0"/>
    <n v="3"/>
    <x v="0"/>
    <n v="3"/>
    <x v="26"/>
    <n v="3"/>
    <x v="1"/>
    <x v="23"/>
    <x v="6"/>
    <x v="2"/>
    <x v="5"/>
  </r>
  <r>
    <x v="13"/>
    <x v="1"/>
    <s v="Travel_Rarely"/>
    <n v="1442"/>
    <x v="1"/>
    <n v="9"/>
    <n v="3"/>
    <s v="Medical"/>
    <n v="1"/>
    <n v="717"/>
    <x v="2"/>
    <x v="0"/>
    <x v="55"/>
    <x v="1"/>
    <x v="2"/>
    <x v="4"/>
    <x v="1"/>
    <x v="0"/>
    <x v="505"/>
    <x v="521"/>
    <x v="1"/>
    <s v="Y"/>
    <s v="No"/>
    <x v="9"/>
    <x v="0"/>
    <n v="2"/>
    <x v="0"/>
    <n v="0"/>
    <x v="15"/>
    <n v="3"/>
    <x v="3"/>
    <x v="3"/>
    <x v="1"/>
    <x v="4"/>
    <x v="1"/>
  </r>
  <r>
    <x v="17"/>
    <x v="0"/>
    <s v="Travel_Rarely"/>
    <n v="693"/>
    <x v="0"/>
    <n v="3"/>
    <n v="2"/>
    <s v="Life Sciences"/>
    <n v="1"/>
    <n v="720"/>
    <x v="3"/>
    <x v="0"/>
    <x v="63"/>
    <x v="0"/>
    <x v="0"/>
    <x v="0"/>
    <x v="2"/>
    <x v="0"/>
    <x v="506"/>
    <x v="522"/>
    <x v="3"/>
    <s v="Y"/>
    <s v="No"/>
    <x v="9"/>
    <x v="0"/>
    <n v="1"/>
    <x v="0"/>
    <n v="0"/>
    <x v="21"/>
    <n v="3"/>
    <x v="1"/>
    <x v="4"/>
    <x v="3"/>
    <x v="3"/>
    <x v="2"/>
  </r>
  <r>
    <x v="22"/>
    <x v="1"/>
    <s v="Travel_Rarely"/>
    <n v="408"/>
    <x v="1"/>
    <n v="2"/>
    <n v="4"/>
    <s v="Technical Degree"/>
    <n v="1"/>
    <n v="721"/>
    <x v="2"/>
    <x v="0"/>
    <x v="15"/>
    <x v="1"/>
    <x v="0"/>
    <x v="4"/>
    <x v="2"/>
    <x v="0"/>
    <x v="507"/>
    <x v="523"/>
    <x v="1"/>
    <s v="Y"/>
    <s v="No"/>
    <x v="0"/>
    <x v="0"/>
    <n v="1"/>
    <x v="0"/>
    <n v="0"/>
    <x v="26"/>
    <n v="4"/>
    <x v="1"/>
    <x v="23"/>
    <x v="1"/>
    <x v="14"/>
    <x v="13"/>
  </r>
  <r>
    <x v="5"/>
    <x v="1"/>
    <s v="Travel_Rarely"/>
    <n v="929"/>
    <x v="0"/>
    <n v="10"/>
    <n v="3"/>
    <s v="Marketing"/>
    <n v="1"/>
    <n v="722"/>
    <x v="2"/>
    <x v="1"/>
    <x v="46"/>
    <x v="0"/>
    <x v="0"/>
    <x v="0"/>
    <x v="0"/>
    <x v="0"/>
    <x v="508"/>
    <x v="524"/>
    <x v="1"/>
    <s v="Y"/>
    <s v="No"/>
    <x v="3"/>
    <x v="0"/>
    <n v="4"/>
    <x v="0"/>
    <n v="0"/>
    <x v="1"/>
    <n v="2"/>
    <x v="2"/>
    <x v="1"/>
    <x v="1"/>
    <x v="0"/>
    <x v="5"/>
  </r>
  <r>
    <x v="24"/>
    <x v="0"/>
    <s v="Travel_Frequently"/>
    <n v="562"/>
    <x v="0"/>
    <n v="8"/>
    <n v="2"/>
    <s v="Technical Degree"/>
    <n v="1"/>
    <n v="723"/>
    <x v="0"/>
    <x v="1"/>
    <x v="13"/>
    <x v="0"/>
    <x v="0"/>
    <x v="0"/>
    <x v="2"/>
    <x v="1"/>
    <x v="509"/>
    <x v="525"/>
    <x v="9"/>
    <s v="Y"/>
    <s v="Yes"/>
    <x v="9"/>
    <x v="0"/>
    <n v="1"/>
    <x v="0"/>
    <n v="1"/>
    <x v="33"/>
    <n v="4"/>
    <x v="1"/>
    <x v="9"/>
    <x v="7"/>
    <x v="1"/>
    <x v="6"/>
  </r>
  <r>
    <x v="8"/>
    <x v="1"/>
    <s v="Travel_Rarely"/>
    <n v="827"/>
    <x v="1"/>
    <n v="1"/>
    <n v="4"/>
    <s v="Life Sciences"/>
    <n v="1"/>
    <n v="724"/>
    <x v="0"/>
    <x v="0"/>
    <x v="30"/>
    <x v="2"/>
    <x v="0"/>
    <x v="4"/>
    <x v="0"/>
    <x v="0"/>
    <x v="510"/>
    <x v="526"/>
    <x v="4"/>
    <s v="Y"/>
    <s v="No"/>
    <x v="4"/>
    <x v="0"/>
    <n v="3"/>
    <x v="0"/>
    <n v="0"/>
    <x v="1"/>
    <n v="4"/>
    <x v="2"/>
    <x v="7"/>
    <x v="1"/>
    <x v="1"/>
    <x v="5"/>
  </r>
  <r>
    <x v="4"/>
    <x v="1"/>
    <s v="Travel_Rarely"/>
    <n v="608"/>
    <x v="1"/>
    <n v="1"/>
    <n v="2"/>
    <s v="Life Sciences"/>
    <n v="1"/>
    <n v="725"/>
    <x v="1"/>
    <x v="0"/>
    <x v="67"/>
    <x v="0"/>
    <x v="2"/>
    <x v="3"/>
    <x v="3"/>
    <x v="1"/>
    <x v="511"/>
    <x v="527"/>
    <x v="1"/>
    <s v="Y"/>
    <s v="No"/>
    <x v="0"/>
    <x v="0"/>
    <n v="4"/>
    <x v="0"/>
    <n v="0"/>
    <x v="15"/>
    <n v="3"/>
    <x v="1"/>
    <x v="7"/>
    <x v="1"/>
    <x v="0"/>
    <x v="1"/>
  </r>
  <r>
    <x v="5"/>
    <x v="1"/>
    <s v="Travel_Rarely"/>
    <n v="1018"/>
    <x v="1"/>
    <n v="3"/>
    <n v="2"/>
    <s v="Life Sciences"/>
    <n v="1"/>
    <n v="727"/>
    <x v="1"/>
    <x v="0"/>
    <x v="56"/>
    <x v="0"/>
    <x v="2"/>
    <x v="7"/>
    <x v="0"/>
    <x v="0"/>
    <x v="512"/>
    <x v="528"/>
    <x v="9"/>
    <s v="Y"/>
    <s v="No"/>
    <x v="2"/>
    <x v="0"/>
    <n v="4"/>
    <x v="0"/>
    <n v="0"/>
    <x v="1"/>
    <n v="6"/>
    <x v="1"/>
    <x v="5"/>
    <x v="1"/>
    <x v="4"/>
    <x v="1"/>
  </r>
  <r>
    <x v="40"/>
    <x v="1"/>
    <s v="Travel_Rarely"/>
    <n v="703"/>
    <x v="0"/>
    <n v="14"/>
    <n v="4"/>
    <s v="Marketing"/>
    <n v="1"/>
    <n v="728"/>
    <x v="2"/>
    <x v="1"/>
    <x v="25"/>
    <x v="0"/>
    <x v="0"/>
    <x v="0"/>
    <x v="3"/>
    <x v="0"/>
    <x v="513"/>
    <x v="529"/>
    <x v="7"/>
    <s v="Y"/>
    <s v="No"/>
    <x v="3"/>
    <x v="0"/>
    <n v="4"/>
    <x v="0"/>
    <n v="0"/>
    <x v="26"/>
    <n v="2"/>
    <x v="1"/>
    <x v="5"/>
    <x v="1"/>
    <x v="1"/>
    <x v="1"/>
  </r>
  <r>
    <x v="32"/>
    <x v="1"/>
    <s v="Travel_Frequently"/>
    <n v="580"/>
    <x v="0"/>
    <n v="5"/>
    <n v="4"/>
    <s v="Life Sciences"/>
    <n v="1"/>
    <n v="729"/>
    <x v="2"/>
    <x v="1"/>
    <x v="24"/>
    <x v="1"/>
    <x v="2"/>
    <x v="0"/>
    <x v="3"/>
    <x v="1"/>
    <x v="514"/>
    <x v="530"/>
    <x v="6"/>
    <s v="Y"/>
    <s v="Yes"/>
    <x v="7"/>
    <x v="1"/>
    <n v="3"/>
    <x v="0"/>
    <n v="1"/>
    <x v="26"/>
    <n v="2"/>
    <x v="1"/>
    <x v="29"/>
    <x v="9"/>
    <x v="1"/>
    <x v="11"/>
  </r>
  <r>
    <x v="16"/>
    <x v="1"/>
    <s v="Travel_Rarely"/>
    <n v="970"/>
    <x v="1"/>
    <n v="7"/>
    <n v="3"/>
    <s v="Life Sciences"/>
    <n v="1"/>
    <n v="730"/>
    <x v="1"/>
    <x v="1"/>
    <x v="40"/>
    <x v="2"/>
    <x v="3"/>
    <x v="7"/>
    <x v="2"/>
    <x v="1"/>
    <x v="515"/>
    <x v="531"/>
    <x v="9"/>
    <s v="Y"/>
    <s v="No"/>
    <x v="12"/>
    <x v="0"/>
    <n v="3"/>
    <x v="0"/>
    <n v="0"/>
    <x v="36"/>
    <n v="3"/>
    <x v="1"/>
    <x v="8"/>
    <x v="10"/>
    <x v="1"/>
    <x v="6"/>
  </r>
  <r>
    <x v="0"/>
    <x v="1"/>
    <s v="Travel_Rarely"/>
    <n v="427"/>
    <x v="2"/>
    <n v="10"/>
    <n v="4"/>
    <s v="Human Resources"/>
    <n v="1"/>
    <n v="731"/>
    <x v="0"/>
    <x v="1"/>
    <x v="32"/>
    <x v="1"/>
    <x v="4"/>
    <x v="5"/>
    <x v="0"/>
    <x v="2"/>
    <x v="516"/>
    <x v="532"/>
    <x v="9"/>
    <s v="Y"/>
    <s v="No"/>
    <x v="2"/>
    <x v="0"/>
    <n v="2"/>
    <x v="0"/>
    <n v="3"/>
    <x v="18"/>
    <n v="2"/>
    <x v="2"/>
    <x v="17"/>
    <x v="8"/>
    <x v="12"/>
    <x v="4"/>
  </r>
  <r>
    <x v="42"/>
    <x v="1"/>
    <s v="Travel_Rarely"/>
    <n v="1179"/>
    <x v="0"/>
    <n v="16"/>
    <n v="4"/>
    <s v="Marketing"/>
    <n v="1"/>
    <n v="732"/>
    <x v="3"/>
    <x v="1"/>
    <x v="9"/>
    <x v="0"/>
    <x v="0"/>
    <x v="0"/>
    <x v="3"/>
    <x v="0"/>
    <x v="517"/>
    <x v="533"/>
    <x v="0"/>
    <s v="Y"/>
    <s v="No"/>
    <x v="9"/>
    <x v="0"/>
    <n v="4"/>
    <x v="0"/>
    <n v="0"/>
    <x v="1"/>
    <n v="1"/>
    <x v="1"/>
    <x v="4"/>
    <x v="3"/>
    <x v="3"/>
    <x v="3"/>
  </r>
  <r>
    <x v="4"/>
    <x v="1"/>
    <s v="Travel_Frequently"/>
    <n v="294"/>
    <x v="1"/>
    <n v="10"/>
    <n v="2"/>
    <s v="Life Sciences"/>
    <n v="1"/>
    <n v="733"/>
    <x v="2"/>
    <x v="1"/>
    <x v="47"/>
    <x v="0"/>
    <x v="2"/>
    <x v="3"/>
    <x v="3"/>
    <x v="2"/>
    <x v="518"/>
    <x v="534"/>
    <x v="1"/>
    <s v="Y"/>
    <s v="No"/>
    <x v="7"/>
    <x v="1"/>
    <n v="3"/>
    <x v="0"/>
    <n v="2"/>
    <x v="15"/>
    <n v="4"/>
    <x v="2"/>
    <x v="7"/>
    <x v="1"/>
    <x v="1"/>
    <x v="1"/>
  </r>
  <r>
    <x v="0"/>
    <x v="1"/>
    <s v="Travel_Rarely"/>
    <n v="314"/>
    <x v="2"/>
    <n v="1"/>
    <n v="3"/>
    <s v="Human Resources"/>
    <n v="1"/>
    <n v="734"/>
    <x v="2"/>
    <x v="1"/>
    <x v="40"/>
    <x v="1"/>
    <x v="4"/>
    <x v="5"/>
    <x v="2"/>
    <x v="1"/>
    <x v="519"/>
    <x v="535"/>
    <x v="1"/>
    <s v="Y"/>
    <s v="No"/>
    <x v="3"/>
    <x v="0"/>
    <n v="2"/>
    <x v="0"/>
    <n v="1"/>
    <x v="14"/>
    <n v="3"/>
    <x v="1"/>
    <x v="14"/>
    <x v="1"/>
    <x v="3"/>
    <x v="13"/>
  </r>
  <r>
    <x v="24"/>
    <x v="1"/>
    <s v="Travel_Rarely"/>
    <n v="316"/>
    <x v="0"/>
    <n v="8"/>
    <n v="4"/>
    <s v="Marketing"/>
    <n v="1"/>
    <n v="738"/>
    <x v="2"/>
    <x v="1"/>
    <x v="60"/>
    <x v="0"/>
    <x v="1"/>
    <x v="6"/>
    <x v="1"/>
    <x v="1"/>
    <x v="520"/>
    <x v="536"/>
    <x v="8"/>
    <s v="Y"/>
    <s v="No"/>
    <x v="2"/>
    <x v="0"/>
    <n v="4"/>
    <x v="0"/>
    <n v="1"/>
    <x v="21"/>
    <n v="2"/>
    <x v="1"/>
    <x v="4"/>
    <x v="3"/>
    <x v="3"/>
    <x v="3"/>
  </r>
  <r>
    <x v="14"/>
    <x v="0"/>
    <s v="Travel_Rarely"/>
    <n v="654"/>
    <x v="1"/>
    <n v="1"/>
    <n v="2"/>
    <s v="Life Sciences"/>
    <n v="1"/>
    <n v="741"/>
    <x v="3"/>
    <x v="0"/>
    <x v="7"/>
    <x v="3"/>
    <x v="1"/>
    <x v="1"/>
    <x v="1"/>
    <x v="0"/>
    <x v="521"/>
    <x v="537"/>
    <x v="8"/>
    <s v="Y"/>
    <s v="Yes"/>
    <x v="4"/>
    <x v="0"/>
    <n v="4"/>
    <x v="0"/>
    <n v="0"/>
    <x v="1"/>
    <n v="4"/>
    <x v="1"/>
    <x v="5"/>
    <x v="1"/>
    <x v="2"/>
    <x v="1"/>
  </r>
  <r>
    <x v="9"/>
    <x v="1"/>
    <s v="Non-Travel"/>
    <n v="427"/>
    <x v="1"/>
    <n v="8"/>
    <n v="3"/>
    <s v="Life Sciences"/>
    <n v="1"/>
    <n v="742"/>
    <x v="3"/>
    <x v="0"/>
    <x v="52"/>
    <x v="2"/>
    <x v="2"/>
    <x v="7"/>
    <x v="3"/>
    <x v="1"/>
    <x v="522"/>
    <x v="538"/>
    <x v="3"/>
    <s v="Y"/>
    <s v="No"/>
    <x v="9"/>
    <x v="0"/>
    <n v="1"/>
    <x v="0"/>
    <n v="1"/>
    <x v="1"/>
    <n v="2"/>
    <x v="1"/>
    <x v="3"/>
    <x v="1"/>
    <x v="0"/>
    <x v="0"/>
  </r>
  <r>
    <x v="8"/>
    <x v="1"/>
    <s v="Travel_Rarely"/>
    <n v="168"/>
    <x v="1"/>
    <n v="1"/>
    <n v="3"/>
    <s v="Life Sciences"/>
    <n v="1"/>
    <n v="743"/>
    <x v="1"/>
    <x v="0"/>
    <x v="6"/>
    <x v="0"/>
    <x v="2"/>
    <x v="3"/>
    <x v="2"/>
    <x v="0"/>
    <x v="523"/>
    <x v="539"/>
    <x v="5"/>
    <s v="Y"/>
    <s v="Yes"/>
    <x v="9"/>
    <x v="0"/>
    <n v="4"/>
    <x v="0"/>
    <n v="0"/>
    <x v="1"/>
    <n v="4"/>
    <x v="3"/>
    <x v="6"/>
    <x v="2"/>
    <x v="0"/>
    <x v="2"/>
  </r>
  <r>
    <x v="20"/>
    <x v="1"/>
    <s v="Non-Travel"/>
    <n v="381"/>
    <x v="1"/>
    <n v="24"/>
    <n v="3"/>
    <s v="Medical"/>
    <n v="1"/>
    <n v="744"/>
    <x v="3"/>
    <x v="1"/>
    <x v="10"/>
    <x v="3"/>
    <x v="1"/>
    <x v="2"/>
    <x v="2"/>
    <x v="0"/>
    <x v="524"/>
    <x v="540"/>
    <x v="7"/>
    <s v="Y"/>
    <s v="No"/>
    <x v="9"/>
    <x v="0"/>
    <n v="3"/>
    <x v="0"/>
    <n v="0"/>
    <x v="15"/>
    <n v="5"/>
    <x v="1"/>
    <x v="8"/>
    <x v="3"/>
    <x v="1"/>
    <x v="10"/>
  </r>
  <r>
    <x v="40"/>
    <x v="1"/>
    <s v="Travel_Frequently"/>
    <n v="217"/>
    <x v="0"/>
    <n v="3"/>
    <n v="3"/>
    <s v="Medical"/>
    <n v="1"/>
    <n v="746"/>
    <x v="2"/>
    <x v="0"/>
    <x v="10"/>
    <x v="0"/>
    <x v="3"/>
    <x v="0"/>
    <x v="2"/>
    <x v="2"/>
    <x v="525"/>
    <x v="541"/>
    <x v="3"/>
    <s v="Y"/>
    <s v="Yes"/>
    <x v="3"/>
    <x v="0"/>
    <n v="4"/>
    <x v="0"/>
    <n v="2"/>
    <x v="23"/>
    <n v="2"/>
    <x v="2"/>
    <x v="14"/>
    <x v="3"/>
    <x v="14"/>
    <x v="15"/>
  </r>
  <r>
    <x v="7"/>
    <x v="1"/>
    <s v="Travel_Rarely"/>
    <n v="501"/>
    <x v="0"/>
    <n v="27"/>
    <n v="5"/>
    <s v="Marketing"/>
    <n v="1"/>
    <n v="747"/>
    <x v="1"/>
    <x v="1"/>
    <x v="39"/>
    <x v="0"/>
    <x v="0"/>
    <x v="0"/>
    <x v="0"/>
    <x v="2"/>
    <x v="367"/>
    <x v="542"/>
    <x v="8"/>
    <s v="Y"/>
    <s v="No"/>
    <x v="1"/>
    <x v="1"/>
    <n v="4"/>
    <x v="0"/>
    <n v="1"/>
    <x v="1"/>
    <n v="2"/>
    <x v="2"/>
    <x v="3"/>
    <x v="1"/>
    <x v="4"/>
    <x v="1"/>
  </r>
  <r>
    <x v="11"/>
    <x v="1"/>
    <s v="Travel_Rarely"/>
    <n v="1396"/>
    <x v="0"/>
    <n v="10"/>
    <n v="3"/>
    <s v="Life Sciences"/>
    <n v="1"/>
    <n v="749"/>
    <x v="1"/>
    <x v="1"/>
    <x v="39"/>
    <x v="0"/>
    <x v="1"/>
    <x v="6"/>
    <x v="2"/>
    <x v="0"/>
    <x v="526"/>
    <x v="364"/>
    <x v="1"/>
    <s v="Y"/>
    <s v="No"/>
    <x v="0"/>
    <x v="0"/>
    <n v="3"/>
    <x v="0"/>
    <n v="0"/>
    <x v="5"/>
    <n v="6"/>
    <x v="1"/>
    <x v="6"/>
    <x v="2"/>
    <x v="0"/>
    <x v="2"/>
  </r>
  <r>
    <x v="19"/>
    <x v="0"/>
    <s v="Travel_Frequently"/>
    <n v="933"/>
    <x v="1"/>
    <n v="19"/>
    <n v="3"/>
    <s v="Medical"/>
    <n v="1"/>
    <n v="752"/>
    <x v="1"/>
    <x v="1"/>
    <x v="42"/>
    <x v="2"/>
    <x v="1"/>
    <x v="1"/>
    <x v="2"/>
    <x v="2"/>
    <x v="527"/>
    <x v="543"/>
    <x v="2"/>
    <s v="Y"/>
    <s v="Yes"/>
    <x v="3"/>
    <x v="0"/>
    <n v="4"/>
    <x v="0"/>
    <n v="0"/>
    <x v="2"/>
    <n v="2"/>
    <x v="1"/>
    <x v="4"/>
    <x v="3"/>
    <x v="3"/>
    <x v="3"/>
  </r>
  <r>
    <x v="23"/>
    <x v="1"/>
    <s v="Travel_Frequently"/>
    <n v="775"/>
    <x v="0"/>
    <n v="15"/>
    <n v="3"/>
    <s v="Life Sciences"/>
    <n v="1"/>
    <n v="754"/>
    <x v="2"/>
    <x v="1"/>
    <x v="35"/>
    <x v="1"/>
    <x v="0"/>
    <x v="0"/>
    <x v="0"/>
    <x v="1"/>
    <x v="197"/>
    <x v="544"/>
    <x v="9"/>
    <s v="Y"/>
    <s v="No"/>
    <x v="11"/>
    <x v="0"/>
    <n v="3"/>
    <x v="0"/>
    <n v="1"/>
    <x v="2"/>
    <n v="5"/>
    <x v="1"/>
    <x v="4"/>
    <x v="3"/>
    <x v="3"/>
    <x v="3"/>
  </r>
  <r>
    <x v="13"/>
    <x v="1"/>
    <s v="Travel_Rarely"/>
    <n v="970"/>
    <x v="1"/>
    <n v="8"/>
    <n v="2"/>
    <s v="Medical"/>
    <n v="1"/>
    <n v="757"/>
    <x v="0"/>
    <x v="0"/>
    <x v="16"/>
    <x v="0"/>
    <x v="0"/>
    <x v="4"/>
    <x v="2"/>
    <x v="0"/>
    <x v="528"/>
    <x v="545"/>
    <x v="9"/>
    <s v="Y"/>
    <s v="No"/>
    <x v="0"/>
    <x v="0"/>
    <n v="4"/>
    <x v="0"/>
    <n v="0"/>
    <x v="1"/>
    <n v="2"/>
    <x v="1"/>
    <x v="8"/>
    <x v="10"/>
    <x v="5"/>
    <x v="6"/>
  </r>
  <r>
    <x v="30"/>
    <x v="1"/>
    <s v="Travel_Rarely"/>
    <n v="650"/>
    <x v="1"/>
    <n v="9"/>
    <n v="1"/>
    <s v="Medical"/>
    <n v="1"/>
    <n v="758"/>
    <x v="0"/>
    <x v="1"/>
    <x v="31"/>
    <x v="0"/>
    <x v="1"/>
    <x v="2"/>
    <x v="3"/>
    <x v="1"/>
    <x v="172"/>
    <x v="546"/>
    <x v="1"/>
    <s v="Y"/>
    <s v="No"/>
    <x v="9"/>
    <x v="0"/>
    <n v="4"/>
    <x v="0"/>
    <n v="1"/>
    <x v="7"/>
    <n v="2"/>
    <x v="3"/>
    <x v="9"/>
    <x v="7"/>
    <x v="0"/>
    <x v="3"/>
  </r>
  <r>
    <x v="22"/>
    <x v="1"/>
    <s v="Travel_Rarely"/>
    <n v="141"/>
    <x v="2"/>
    <n v="3"/>
    <n v="3"/>
    <s v="Human Resources"/>
    <n v="1"/>
    <n v="760"/>
    <x v="1"/>
    <x v="0"/>
    <x v="8"/>
    <x v="2"/>
    <x v="0"/>
    <x v="8"/>
    <x v="1"/>
    <x v="1"/>
    <x v="529"/>
    <x v="547"/>
    <x v="3"/>
    <s v="Y"/>
    <s v="No"/>
    <x v="2"/>
    <x v="0"/>
    <n v="3"/>
    <x v="0"/>
    <n v="1"/>
    <x v="4"/>
    <n v="3"/>
    <x v="0"/>
    <x v="3"/>
    <x v="7"/>
    <x v="2"/>
    <x v="4"/>
  </r>
  <r>
    <x v="29"/>
    <x v="1"/>
    <s v="Travel_Rarely"/>
    <n v="832"/>
    <x v="1"/>
    <n v="9"/>
    <n v="3"/>
    <s v="Medical"/>
    <n v="1"/>
    <n v="762"/>
    <x v="1"/>
    <x v="1"/>
    <x v="6"/>
    <x v="0"/>
    <x v="3"/>
    <x v="4"/>
    <x v="0"/>
    <x v="1"/>
    <x v="530"/>
    <x v="548"/>
    <x v="8"/>
    <s v="Y"/>
    <s v="No"/>
    <x v="0"/>
    <x v="0"/>
    <n v="3"/>
    <x v="0"/>
    <n v="0"/>
    <x v="31"/>
    <n v="1"/>
    <x v="2"/>
    <x v="1"/>
    <x v="1"/>
    <x v="1"/>
    <x v="9"/>
  </r>
  <r>
    <x v="32"/>
    <x v="1"/>
    <s v="Travel_Rarely"/>
    <n v="804"/>
    <x v="1"/>
    <n v="2"/>
    <n v="1"/>
    <s v="Medical"/>
    <n v="1"/>
    <n v="763"/>
    <x v="2"/>
    <x v="0"/>
    <x v="27"/>
    <x v="1"/>
    <x v="1"/>
    <x v="1"/>
    <x v="0"/>
    <x v="0"/>
    <x v="531"/>
    <x v="549"/>
    <x v="4"/>
    <s v="Y"/>
    <s v="Yes"/>
    <x v="5"/>
    <x v="1"/>
    <n v="4"/>
    <x v="0"/>
    <n v="0"/>
    <x v="7"/>
    <n v="2"/>
    <x v="2"/>
    <x v="9"/>
    <x v="3"/>
    <x v="3"/>
    <x v="6"/>
  </r>
  <r>
    <x v="4"/>
    <x v="1"/>
    <s v="Travel_Rarely"/>
    <n v="975"/>
    <x v="1"/>
    <n v="7"/>
    <n v="3"/>
    <s v="Medical"/>
    <n v="1"/>
    <n v="764"/>
    <x v="2"/>
    <x v="0"/>
    <x v="46"/>
    <x v="1"/>
    <x v="0"/>
    <x v="4"/>
    <x v="3"/>
    <x v="0"/>
    <x v="445"/>
    <x v="550"/>
    <x v="0"/>
    <s v="Y"/>
    <s v="No"/>
    <x v="12"/>
    <x v="0"/>
    <n v="1"/>
    <x v="0"/>
    <n v="0"/>
    <x v="15"/>
    <n v="2"/>
    <x v="0"/>
    <x v="5"/>
    <x v="8"/>
    <x v="0"/>
    <x v="1"/>
  </r>
  <r>
    <x v="11"/>
    <x v="1"/>
    <s v="Travel_Rarely"/>
    <n v="1090"/>
    <x v="0"/>
    <n v="10"/>
    <n v="3"/>
    <s v="Marketing"/>
    <n v="1"/>
    <n v="766"/>
    <x v="2"/>
    <x v="1"/>
    <x v="21"/>
    <x v="0"/>
    <x v="1"/>
    <x v="6"/>
    <x v="1"/>
    <x v="2"/>
    <x v="532"/>
    <x v="551"/>
    <x v="1"/>
    <s v="Y"/>
    <s v="No"/>
    <x v="9"/>
    <x v="0"/>
    <n v="4"/>
    <x v="0"/>
    <n v="2"/>
    <x v="17"/>
    <n v="2"/>
    <x v="1"/>
    <x v="4"/>
    <x v="3"/>
    <x v="3"/>
    <x v="3"/>
  </r>
  <r>
    <x v="16"/>
    <x v="1"/>
    <s v="Travel_Rarely"/>
    <n v="346"/>
    <x v="1"/>
    <n v="6"/>
    <n v="3"/>
    <s v="Life Sciences"/>
    <n v="1"/>
    <n v="769"/>
    <x v="2"/>
    <x v="1"/>
    <x v="27"/>
    <x v="0"/>
    <x v="0"/>
    <x v="2"/>
    <x v="0"/>
    <x v="0"/>
    <x v="533"/>
    <x v="552"/>
    <x v="7"/>
    <s v="Y"/>
    <s v="No"/>
    <x v="8"/>
    <x v="0"/>
    <n v="4"/>
    <x v="0"/>
    <n v="0"/>
    <x v="16"/>
    <n v="4"/>
    <x v="1"/>
    <x v="4"/>
    <x v="3"/>
    <x v="3"/>
    <x v="3"/>
  </r>
  <r>
    <x v="10"/>
    <x v="1"/>
    <s v="Non-Travel"/>
    <n v="1225"/>
    <x v="1"/>
    <n v="2"/>
    <n v="4"/>
    <s v="Life Sciences"/>
    <n v="1"/>
    <n v="771"/>
    <x v="2"/>
    <x v="0"/>
    <x v="1"/>
    <x v="0"/>
    <x v="0"/>
    <x v="4"/>
    <x v="3"/>
    <x v="2"/>
    <x v="534"/>
    <x v="553"/>
    <x v="7"/>
    <s v="Y"/>
    <s v="No"/>
    <x v="0"/>
    <x v="0"/>
    <n v="1"/>
    <x v="0"/>
    <n v="1"/>
    <x v="28"/>
    <n v="2"/>
    <x v="3"/>
    <x v="6"/>
    <x v="2"/>
    <x v="0"/>
    <x v="2"/>
  </r>
  <r>
    <x v="5"/>
    <x v="1"/>
    <s v="Travel_Frequently"/>
    <n v="430"/>
    <x v="1"/>
    <n v="24"/>
    <n v="4"/>
    <s v="Life Sciences"/>
    <n v="1"/>
    <n v="772"/>
    <x v="3"/>
    <x v="1"/>
    <x v="15"/>
    <x v="0"/>
    <x v="0"/>
    <x v="2"/>
    <x v="0"/>
    <x v="1"/>
    <x v="535"/>
    <x v="554"/>
    <x v="1"/>
    <s v="Y"/>
    <s v="No"/>
    <x v="2"/>
    <x v="0"/>
    <n v="4"/>
    <x v="0"/>
    <n v="2"/>
    <x v="1"/>
    <n v="2"/>
    <x v="1"/>
    <x v="1"/>
    <x v="6"/>
    <x v="5"/>
    <x v="1"/>
  </r>
  <r>
    <x v="8"/>
    <x v="1"/>
    <s v="Travel_Rarely"/>
    <n v="268"/>
    <x v="1"/>
    <n v="2"/>
    <n v="5"/>
    <s v="Medical"/>
    <n v="1"/>
    <n v="773"/>
    <x v="2"/>
    <x v="1"/>
    <x v="2"/>
    <x v="0"/>
    <x v="1"/>
    <x v="1"/>
    <x v="2"/>
    <x v="1"/>
    <x v="536"/>
    <x v="555"/>
    <x v="2"/>
    <s v="Y"/>
    <s v="Yes"/>
    <x v="4"/>
    <x v="0"/>
    <n v="2"/>
    <x v="0"/>
    <n v="1"/>
    <x v="3"/>
    <n v="0"/>
    <x v="0"/>
    <x v="6"/>
    <x v="2"/>
    <x v="0"/>
    <x v="9"/>
  </r>
  <r>
    <x v="13"/>
    <x v="1"/>
    <s v="Travel_Rarely"/>
    <n v="167"/>
    <x v="1"/>
    <n v="8"/>
    <n v="5"/>
    <s v="Life Sciences"/>
    <n v="1"/>
    <n v="775"/>
    <x v="0"/>
    <x v="0"/>
    <x v="47"/>
    <x v="0"/>
    <x v="0"/>
    <x v="3"/>
    <x v="3"/>
    <x v="2"/>
    <x v="537"/>
    <x v="556"/>
    <x v="9"/>
    <s v="Y"/>
    <s v="No"/>
    <x v="9"/>
    <x v="0"/>
    <n v="3"/>
    <x v="0"/>
    <n v="1"/>
    <x v="2"/>
    <n v="3"/>
    <x v="1"/>
    <x v="2"/>
    <x v="2"/>
    <x v="0"/>
    <x v="2"/>
  </r>
  <r>
    <x v="39"/>
    <x v="1"/>
    <s v="Travel_Rarely"/>
    <n v="621"/>
    <x v="0"/>
    <n v="3"/>
    <n v="4"/>
    <s v="Marketing"/>
    <n v="1"/>
    <n v="776"/>
    <x v="1"/>
    <x v="1"/>
    <x v="11"/>
    <x v="1"/>
    <x v="3"/>
    <x v="5"/>
    <x v="3"/>
    <x v="1"/>
    <x v="538"/>
    <x v="557"/>
    <x v="1"/>
    <s v="Y"/>
    <s v="No"/>
    <x v="0"/>
    <x v="0"/>
    <n v="1"/>
    <x v="0"/>
    <n v="0"/>
    <x v="35"/>
    <n v="3"/>
    <x v="3"/>
    <x v="33"/>
    <x v="8"/>
    <x v="1"/>
    <x v="16"/>
  </r>
  <r>
    <x v="3"/>
    <x v="0"/>
    <s v="Travel_Rarely"/>
    <n v="527"/>
    <x v="1"/>
    <n v="1"/>
    <n v="4"/>
    <s v="Other"/>
    <n v="1"/>
    <n v="780"/>
    <x v="2"/>
    <x v="1"/>
    <x v="52"/>
    <x v="0"/>
    <x v="1"/>
    <x v="1"/>
    <x v="0"/>
    <x v="0"/>
    <x v="539"/>
    <x v="558"/>
    <x v="1"/>
    <s v="Y"/>
    <s v="Yes"/>
    <x v="4"/>
    <x v="0"/>
    <n v="3"/>
    <x v="0"/>
    <n v="0"/>
    <x v="1"/>
    <n v="2"/>
    <x v="2"/>
    <x v="1"/>
    <x v="5"/>
    <x v="4"/>
    <x v="5"/>
  </r>
  <r>
    <x v="36"/>
    <x v="1"/>
    <s v="Travel_Rarely"/>
    <n v="883"/>
    <x v="0"/>
    <n v="26"/>
    <n v="1"/>
    <s v="Medical"/>
    <n v="1"/>
    <n v="781"/>
    <x v="1"/>
    <x v="0"/>
    <x v="47"/>
    <x v="0"/>
    <x v="0"/>
    <x v="0"/>
    <x v="0"/>
    <x v="0"/>
    <x v="540"/>
    <x v="559"/>
    <x v="1"/>
    <s v="Y"/>
    <s v="No"/>
    <x v="1"/>
    <x v="1"/>
    <n v="2"/>
    <x v="0"/>
    <n v="0"/>
    <x v="3"/>
    <n v="5"/>
    <x v="2"/>
    <x v="0"/>
    <x v="4"/>
    <x v="1"/>
    <x v="10"/>
  </r>
  <r>
    <x v="28"/>
    <x v="1"/>
    <s v="Travel_Rarely"/>
    <n v="954"/>
    <x v="0"/>
    <n v="2"/>
    <n v="2"/>
    <s v="Technical Degree"/>
    <n v="1"/>
    <n v="783"/>
    <x v="0"/>
    <x v="1"/>
    <x v="55"/>
    <x v="3"/>
    <x v="0"/>
    <x v="6"/>
    <x v="2"/>
    <x v="0"/>
    <x v="541"/>
    <x v="560"/>
    <x v="4"/>
    <s v="Y"/>
    <s v="No"/>
    <x v="4"/>
    <x v="0"/>
    <n v="1"/>
    <x v="0"/>
    <n v="0"/>
    <x v="15"/>
    <n v="3"/>
    <x v="1"/>
    <x v="3"/>
    <x v="1"/>
    <x v="2"/>
    <x v="9"/>
  </r>
  <r>
    <x v="30"/>
    <x v="1"/>
    <s v="Travel_Rarely"/>
    <n v="310"/>
    <x v="1"/>
    <n v="10"/>
    <n v="1"/>
    <s v="Medical"/>
    <n v="1"/>
    <n v="784"/>
    <x v="3"/>
    <x v="1"/>
    <x v="5"/>
    <x v="2"/>
    <x v="1"/>
    <x v="1"/>
    <x v="2"/>
    <x v="0"/>
    <x v="542"/>
    <x v="561"/>
    <x v="1"/>
    <s v="Y"/>
    <s v="No"/>
    <x v="11"/>
    <x v="0"/>
    <n v="4"/>
    <x v="0"/>
    <n v="0"/>
    <x v="17"/>
    <n v="3"/>
    <x v="1"/>
    <x v="4"/>
    <x v="3"/>
    <x v="0"/>
    <x v="3"/>
  </r>
  <r>
    <x v="40"/>
    <x v="0"/>
    <s v="Travel_Frequently"/>
    <n v="719"/>
    <x v="0"/>
    <n v="27"/>
    <n v="2"/>
    <s v="Life Sciences"/>
    <n v="1"/>
    <n v="785"/>
    <x v="0"/>
    <x v="0"/>
    <x v="57"/>
    <x v="2"/>
    <x v="0"/>
    <x v="0"/>
    <x v="2"/>
    <x v="0"/>
    <x v="271"/>
    <x v="562"/>
    <x v="5"/>
    <s v="Y"/>
    <s v="Yes"/>
    <x v="3"/>
    <x v="0"/>
    <n v="4"/>
    <x v="0"/>
    <n v="0"/>
    <x v="0"/>
    <n v="2"/>
    <x v="1"/>
    <x v="8"/>
    <x v="0"/>
    <x v="1"/>
    <x v="6"/>
  </r>
  <r>
    <x v="13"/>
    <x v="1"/>
    <s v="Travel_Rarely"/>
    <n v="304"/>
    <x v="0"/>
    <n v="2"/>
    <n v="3"/>
    <s v="Other"/>
    <n v="1"/>
    <n v="786"/>
    <x v="2"/>
    <x v="1"/>
    <x v="53"/>
    <x v="0"/>
    <x v="0"/>
    <x v="0"/>
    <x v="0"/>
    <x v="0"/>
    <x v="543"/>
    <x v="563"/>
    <x v="1"/>
    <s v="Y"/>
    <s v="No"/>
    <x v="6"/>
    <x v="1"/>
    <n v="3"/>
    <x v="0"/>
    <n v="0"/>
    <x v="3"/>
    <n v="5"/>
    <x v="1"/>
    <x v="0"/>
    <x v="4"/>
    <x v="1"/>
    <x v="10"/>
  </r>
  <r>
    <x v="27"/>
    <x v="0"/>
    <s v="Travel_Rarely"/>
    <n v="725"/>
    <x v="1"/>
    <n v="2"/>
    <n v="3"/>
    <s v="Medical"/>
    <n v="1"/>
    <n v="787"/>
    <x v="2"/>
    <x v="1"/>
    <x v="17"/>
    <x v="0"/>
    <x v="4"/>
    <x v="5"/>
    <x v="3"/>
    <x v="1"/>
    <x v="544"/>
    <x v="564"/>
    <x v="6"/>
    <s v="Y"/>
    <s v="Yes"/>
    <x v="4"/>
    <x v="0"/>
    <n v="4"/>
    <x v="0"/>
    <n v="1"/>
    <x v="13"/>
    <n v="2"/>
    <x v="1"/>
    <x v="8"/>
    <x v="3"/>
    <x v="1"/>
    <x v="10"/>
  </r>
  <r>
    <x v="9"/>
    <x v="1"/>
    <s v="Non-Travel"/>
    <n v="1434"/>
    <x v="0"/>
    <n v="8"/>
    <n v="4"/>
    <s v="Life Sciences"/>
    <n v="1"/>
    <n v="789"/>
    <x v="3"/>
    <x v="1"/>
    <x v="43"/>
    <x v="1"/>
    <x v="2"/>
    <x v="0"/>
    <x v="3"/>
    <x v="0"/>
    <x v="545"/>
    <x v="565"/>
    <x v="1"/>
    <s v="Y"/>
    <s v="No"/>
    <x v="2"/>
    <x v="0"/>
    <n v="2"/>
    <x v="0"/>
    <n v="0"/>
    <x v="1"/>
    <n v="1"/>
    <x v="1"/>
    <x v="1"/>
    <x v="1"/>
    <x v="0"/>
    <x v="12"/>
  </r>
  <r>
    <x v="39"/>
    <x v="1"/>
    <s v="Non-Travel"/>
    <n v="715"/>
    <x v="1"/>
    <n v="19"/>
    <n v="4"/>
    <s v="Medical"/>
    <n v="1"/>
    <n v="791"/>
    <x v="2"/>
    <x v="1"/>
    <x v="26"/>
    <x v="0"/>
    <x v="1"/>
    <x v="1"/>
    <x v="0"/>
    <x v="1"/>
    <x v="546"/>
    <x v="566"/>
    <x v="4"/>
    <s v="Y"/>
    <s v="No"/>
    <x v="11"/>
    <x v="0"/>
    <n v="1"/>
    <x v="0"/>
    <n v="1"/>
    <x v="7"/>
    <n v="3"/>
    <x v="1"/>
    <x v="9"/>
    <x v="7"/>
    <x v="1"/>
    <x v="3"/>
  </r>
  <r>
    <x v="25"/>
    <x v="1"/>
    <s v="Travel_Frequently"/>
    <n v="575"/>
    <x v="1"/>
    <n v="1"/>
    <n v="2"/>
    <s v="Life Sciences"/>
    <n v="1"/>
    <n v="792"/>
    <x v="3"/>
    <x v="0"/>
    <x v="36"/>
    <x v="3"/>
    <x v="1"/>
    <x v="2"/>
    <x v="0"/>
    <x v="2"/>
    <x v="547"/>
    <x v="567"/>
    <x v="9"/>
    <s v="Y"/>
    <s v="No"/>
    <x v="9"/>
    <x v="0"/>
    <n v="1"/>
    <x v="0"/>
    <n v="1"/>
    <x v="7"/>
    <n v="2"/>
    <x v="1"/>
    <x v="4"/>
    <x v="3"/>
    <x v="3"/>
    <x v="2"/>
  </r>
  <r>
    <x v="11"/>
    <x v="1"/>
    <s v="Travel_Rarely"/>
    <n v="657"/>
    <x v="1"/>
    <n v="27"/>
    <n v="3"/>
    <s v="Medical"/>
    <n v="1"/>
    <n v="793"/>
    <x v="0"/>
    <x v="0"/>
    <x v="45"/>
    <x v="0"/>
    <x v="0"/>
    <x v="4"/>
    <x v="2"/>
    <x v="1"/>
    <x v="548"/>
    <x v="568"/>
    <x v="5"/>
    <s v="Y"/>
    <s v="No"/>
    <x v="3"/>
    <x v="0"/>
    <n v="1"/>
    <x v="0"/>
    <n v="1"/>
    <x v="27"/>
    <n v="3"/>
    <x v="2"/>
    <x v="3"/>
    <x v="1"/>
    <x v="1"/>
    <x v="9"/>
  </r>
  <r>
    <x v="25"/>
    <x v="0"/>
    <s v="Travel_Rarely"/>
    <n v="1146"/>
    <x v="0"/>
    <n v="8"/>
    <n v="3"/>
    <s v="Technical Degree"/>
    <n v="1"/>
    <n v="796"/>
    <x v="2"/>
    <x v="1"/>
    <x v="70"/>
    <x v="1"/>
    <x v="0"/>
    <x v="0"/>
    <x v="3"/>
    <x v="0"/>
    <x v="549"/>
    <x v="569"/>
    <x v="2"/>
    <s v="Y"/>
    <s v="No"/>
    <x v="8"/>
    <x v="0"/>
    <n v="3"/>
    <x v="0"/>
    <n v="0"/>
    <x v="3"/>
    <n v="2"/>
    <x v="2"/>
    <x v="9"/>
    <x v="7"/>
    <x v="1"/>
    <x v="3"/>
  </r>
  <r>
    <x v="13"/>
    <x v="1"/>
    <s v="Travel_Rarely"/>
    <n v="182"/>
    <x v="1"/>
    <n v="1"/>
    <n v="4"/>
    <s v="Life Sciences"/>
    <n v="1"/>
    <n v="797"/>
    <x v="0"/>
    <x v="0"/>
    <x v="23"/>
    <x v="2"/>
    <x v="1"/>
    <x v="1"/>
    <x v="0"/>
    <x v="0"/>
    <x v="550"/>
    <x v="570"/>
    <x v="7"/>
    <s v="Y"/>
    <s v="No"/>
    <x v="10"/>
    <x v="0"/>
    <n v="3"/>
    <x v="0"/>
    <n v="0"/>
    <x v="1"/>
    <n v="2"/>
    <x v="1"/>
    <x v="9"/>
    <x v="3"/>
    <x v="1"/>
    <x v="6"/>
  </r>
  <r>
    <x v="33"/>
    <x v="1"/>
    <s v="Travel_Rarely"/>
    <n v="376"/>
    <x v="1"/>
    <n v="19"/>
    <n v="4"/>
    <s v="Medical"/>
    <n v="1"/>
    <n v="799"/>
    <x v="2"/>
    <x v="0"/>
    <x v="41"/>
    <x v="0"/>
    <x v="0"/>
    <x v="3"/>
    <x v="3"/>
    <x v="2"/>
    <x v="551"/>
    <x v="571"/>
    <x v="3"/>
    <s v="Y"/>
    <s v="Yes"/>
    <x v="0"/>
    <x v="0"/>
    <n v="2"/>
    <x v="0"/>
    <n v="2"/>
    <x v="15"/>
    <n v="4"/>
    <x v="1"/>
    <x v="8"/>
    <x v="7"/>
    <x v="1"/>
    <x v="10"/>
  </r>
  <r>
    <x v="4"/>
    <x v="1"/>
    <s v="Travel_Frequently"/>
    <n v="829"/>
    <x v="0"/>
    <n v="8"/>
    <n v="1"/>
    <s v="Marketing"/>
    <n v="1"/>
    <n v="800"/>
    <x v="1"/>
    <x v="1"/>
    <x v="9"/>
    <x v="0"/>
    <x v="0"/>
    <x v="0"/>
    <x v="0"/>
    <x v="1"/>
    <x v="552"/>
    <x v="572"/>
    <x v="4"/>
    <s v="Y"/>
    <s v="No"/>
    <x v="12"/>
    <x v="0"/>
    <n v="2"/>
    <x v="0"/>
    <n v="1"/>
    <x v="7"/>
    <n v="3"/>
    <x v="1"/>
    <x v="9"/>
    <x v="3"/>
    <x v="1"/>
    <x v="9"/>
  </r>
  <r>
    <x v="2"/>
    <x v="1"/>
    <s v="Travel_Rarely"/>
    <n v="571"/>
    <x v="1"/>
    <n v="10"/>
    <n v="1"/>
    <s v="Life Sciences"/>
    <n v="1"/>
    <n v="802"/>
    <x v="2"/>
    <x v="0"/>
    <x v="19"/>
    <x v="0"/>
    <x v="1"/>
    <x v="1"/>
    <x v="3"/>
    <x v="2"/>
    <x v="553"/>
    <x v="573"/>
    <x v="4"/>
    <s v="Y"/>
    <s v="Yes"/>
    <x v="4"/>
    <x v="0"/>
    <n v="2"/>
    <x v="0"/>
    <n v="2"/>
    <x v="3"/>
    <n v="3"/>
    <x v="2"/>
    <x v="8"/>
    <x v="7"/>
    <x v="5"/>
    <x v="6"/>
  </r>
  <r>
    <x v="8"/>
    <x v="1"/>
    <s v="Travel_Frequently"/>
    <n v="240"/>
    <x v="1"/>
    <n v="2"/>
    <n v="4"/>
    <s v="Life Sciences"/>
    <n v="1"/>
    <n v="803"/>
    <x v="3"/>
    <x v="0"/>
    <x v="29"/>
    <x v="2"/>
    <x v="0"/>
    <x v="3"/>
    <x v="3"/>
    <x v="0"/>
    <x v="554"/>
    <x v="574"/>
    <x v="2"/>
    <s v="Y"/>
    <s v="Yes"/>
    <x v="3"/>
    <x v="0"/>
    <n v="4"/>
    <x v="0"/>
    <n v="0"/>
    <x v="6"/>
    <n v="2"/>
    <x v="1"/>
    <x v="15"/>
    <x v="1"/>
    <x v="5"/>
    <x v="11"/>
  </r>
  <r>
    <x v="13"/>
    <x v="1"/>
    <s v="Travel_Rarely"/>
    <n v="121"/>
    <x v="1"/>
    <n v="2"/>
    <n v="4"/>
    <s v="Medical"/>
    <n v="1"/>
    <n v="804"/>
    <x v="1"/>
    <x v="0"/>
    <x v="27"/>
    <x v="1"/>
    <x v="1"/>
    <x v="1"/>
    <x v="3"/>
    <x v="0"/>
    <x v="555"/>
    <x v="575"/>
    <x v="1"/>
    <s v="Y"/>
    <s v="No"/>
    <x v="0"/>
    <x v="0"/>
    <n v="3"/>
    <x v="0"/>
    <n v="0"/>
    <x v="3"/>
    <n v="3"/>
    <x v="1"/>
    <x v="0"/>
    <x v="4"/>
    <x v="1"/>
    <x v="6"/>
  </r>
  <r>
    <x v="10"/>
    <x v="1"/>
    <s v="Travel_Rarely"/>
    <n v="384"/>
    <x v="0"/>
    <n v="8"/>
    <n v="4"/>
    <s v="Life Sciences"/>
    <n v="1"/>
    <n v="805"/>
    <x v="3"/>
    <x v="0"/>
    <x v="23"/>
    <x v="0"/>
    <x v="1"/>
    <x v="6"/>
    <x v="0"/>
    <x v="1"/>
    <x v="556"/>
    <x v="576"/>
    <x v="1"/>
    <s v="Y"/>
    <s v="No"/>
    <x v="10"/>
    <x v="0"/>
    <n v="2"/>
    <x v="0"/>
    <n v="1"/>
    <x v="8"/>
    <n v="1"/>
    <x v="2"/>
    <x v="11"/>
    <x v="3"/>
    <x v="0"/>
    <x v="3"/>
  </r>
  <r>
    <x v="7"/>
    <x v="1"/>
    <s v="Travel_Rarely"/>
    <n v="921"/>
    <x v="1"/>
    <n v="1"/>
    <n v="3"/>
    <s v="Life Sciences"/>
    <n v="1"/>
    <n v="806"/>
    <x v="2"/>
    <x v="1"/>
    <x v="70"/>
    <x v="3"/>
    <x v="1"/>
    <x v="2"/>
    <x v="2"/>
    <x v="1"/>
    <x v="557"/>
    <x v="577"/>
    <x v="9"/>
    <s v="Y"/>
    <s v="No"/>
    <x v="7"/>
    <x v="1"/>
    <n v="3"/>
    <x v="0"/>
    <n v="2"/>
    <x v="2"/>
    <n v="2"/>
    <x v="1"/>
    <x v="4"/>
    <x v="3"/>
    <x v="0"/>
    <x v="3"/>
  </r>
  <r>
    <x v="32"/>
    <x v="1"/>
    <s v="Travel_Frequently"/>
    <n v="791"/>
    <x v="1"/>
    <n v="2"/>
    <n v="2"/>
    <s v="Medical"/>
    <n v="1"/>
    <n v="807"/>
    <x v="1"/>
    <x v="0"/>
    <x v="70"/>
    <x v="2"/>
    <x v="0"/>
    <x v="4"/>
    <x v="1"/>
    <x v="1"/>
    <x v="558"/>
    <x v="578"/>
    <x v="1"/>
    <s v="Y"/>
    <s v="No"/>
    <x v="13"/>
    <x v="1"/>
    <n v="4"/>
    <x v="0"/>
    <n v="1"/>
    <x v="0"/>
    <n v="2"/>
    <x v="1"/>
    <x v="3"/>
    <x v="1"/>
    <x v="2"/>
    <x v="1"/>
  </r>
  <r>
    <x v="13"/>
    <x v="1"/>
    <s v="Travel_Rarely"/>
    <n v="1111"/>
    <x v="0"/>
    <n v="8"/>
    <n v="2"/>
    <s v="Life Sciences"/>
    <n v="1"/>
    <n v="808"/>
    <x v="1"/>
    <x v="0"/>
    <x v="12"/>
    <x v="0"/>
    <x v="0"/>
    <x v="0"/>
    <x v="3"/>
    <x v="1"/>
    <x v="559"/>
    <x v="579"/>
    <x v="6"/>
    <s v="Y"/>
    <s v="No"/>
    <x v="8"/>
    <x v="0"/>
    <n v="2"/>
    <x v="0"/>
    <n v="1"/>
    <x v="3"/>
    <n v="1"/>
    <x v="1"/>
    <x v="11"/>
    <x v="3"/>
    <x v="1"/>
    <x v="3"/>
  </r>
  <r>
    <x v="19"/>
    <x v="1"/>
    <s v="Travel_Frequently"/>
    <n v="570"/>
    <x v="1"/>
    <n v="8"/>
    <n v="3"/>
    <s v="Life Sciences"/>
    <n v="1"/>
    <n v="809"/>
    <x v="0"/>
    <x v="1"/>
    <x v="45"/>
    <x v="0"/>
    <x v="4"/>
    <x v="5"/>
    <x v="0"/>
    <x v="2"/>
    <x v="560"/>
    <x v="580"/>
    <x v="1"/>
    <s v="Y"/>
    <s v="No"/>
    <x v="4"/>
    <x v="0"/>
    <n v="2"/>
    <x v="0"/>
    <n v="1"/>
    <x v="13"/>
    <n v="4"/>
    <x v="2"/>
    <x v="25"/>
    <x v="1"/>
    <x v="15"/>
    <x v="12"/>
  </r>
  <r>
    <x v="30"/>
    <x v="0"/>
    <s v="Travel_Rarely"/>
    <n v="1243"/>
    <x v="1"/>
    <n v="6"/>
    <n v="3"/>
    <s v="Life Sciences"/>
    <n v="1"/>
    <n v="811"/>
    <x v="1"/>
    <x v="1"/>
    <x v="52"/>
    <x v="2"/>
    <x v="1"/>
    <x v="2"/>
    <x v="3"/>
    <x v="1"/>
    <x v="561"/>
    <x v="581"/>
    <x v="1"/>
    <s v="Y"/>
    <s v="Yes"/>
    <x v="7"/>
    <x v="1"/>
    <n v="3"/>
    <x v="0"/>
    <n v="2"/>
    <x v="5"/>
    <n v="2"/>
    <x v="1"/>
    <x v="2"/>
    <x v="2"/>
    <x v="0"/>
    <x v="2"/>
  </r>
  <r>
    <x v="17"/>
    <x v="1"/>
    <s v="Non-Travel"/>
    <n v="1092"/>
    <x v="1"/>
    <n v="9"/>
    <n v="3"/>
    <s v="Life Sciences"/>
    <n v="1"/>
    <n v="812"/>
    <x v="1"/>
    <x v="1"/>
    <x v="53"/>
    <x v="1"/>
    <x v="1"/>
    <x v="2"/>
    <x v="1"/>
    <x v="2"/>
    <x v="562"/>
    <x v="582"/>
    <x v="1"/>
    <s v="Y"/>
    <s v="No"/>
    <x v="0"/>
    <x v="0"/>
    <n v="3"/>
    <x v="0"/>
    <n v="3"/>
    <x v="5"/>
    <n v="4"/>
    <x v="1"/>
    <x v="6"/>
    <x v="2"/>
    <x v="0"/>
    <x v="2"/>
  </r>
  <r>
    <x v="39"/>
    <x v="1"/>
    <s v="Travel_Rarely"/>
    <n v="1325"/>
    <x v="1"/>
    <n v="11"/>
    <n v="4"/>
    <s v="Life Sciences"/>
    <n v="1"/>
    <n v="813"/>
    <x v="2"/>
    <x v="0"/>
    <x v="19"/>
    <x v="0"/>
    <x v="0"/>
    <x v="2"/>
    <x v="2"/>
    <x v="1"/>
    <x v="563"/>
    <x v="583"/>
    <x v="0"/>
    <s v="Y"/>
    <s v="No"/>
    <x v="5"/>
    <x v="1"/>
    <n v="2"/>
    <x v="0"/>
    <n v="1"/>
    <x v="15"/>
    <n v="3"/>
    <x v="1"/>
    <x v="8"/>
    <x v="3"/>
    <x v="1"/>
    <x v="10"/>
  </r>
  <r>
    <x v="24"/>
    <x v="1"/>
    <s v="Travel_Rarely"/>
    <n v="691"/>
    <x v="1"/>
    <n v="2"/>
    <n v="3"/>
    <s v="Medical"/>
    <n v="1"/>
    <n v="815"/>
    <x v="1"/>
    <x v="1"/>
    <x v="51"/>
    <x v="0"/>
    <x v="3"/>
    <x v="7"/>
    <x v="2"/>
    <x v="1"/>
    <x v="564"/>
    <x v="584"/>
    <x v="6"/>
    <s v="Y"/>
    <s v="No"/>
    <x v="10"/>
    <x v="0"/>
    <n v="4"/>
    <x v="0"/>
    <n v="0"/>
    <x v="31"/>
    <n v="3"/>
    <x v="1"/>
    <x v="9"/>
    <x v="7"/>
    <x v="0"/>
    <x v="6"/>
  </r>
  <r>
    <x v="11"/>
    <x v="0"/>
    <s v="Travel_Rarely"/>
    <n v="805"/>
    <x v="1"/>
    <n v="1"/>
    <n v="2"/>
    <s v="Life Sciences"/>
    <n v="1"/>
    <n v="816"/>
    <x v="0"/>
    <x v="0"/>
    <x v="34"/>
    <x v="1"/>
    <x v="1"/>
    <x v="2"/>
    <x v="3"/>
    <x v="1"/>
    <x v="565"/>
    <x v="585"/>
    <x v="1"/>
    <s v="Y"/>
    <s v="Yes"/>
    <x v="0"/>
    <x v="0"/>
    <n v="4"/>
    <x v="0"/>
    <n v="1"/>
    <x v="5"/>
    <n v="1"/>
    <x v="1"/>
    <x v="6"/>
    <x v="2"/>
    <x v="0"/>
    <x v="2"/>
  </r>
  <r>
    <x v="3"/>
    <x v="1"/>
    <s v="Travel_Rarely"/>
    <n v="213"/>
    <x v="1"/>
    <n v="7"/>
    <n v="3"/>
    <s v="Medical"/>
    <n v="1"/>
    <n v="817"/>
    <x v="1"/>
    <x v="1"/>
    <x v="10"/>
    <x v="0"/>
    <x v="2"/>
    <x v="7"/>
    <x v="2"/>
    <x v="1"/>
    <x v="566"/>
    <x v="586"/>
    <x v="4"/>
    <s v="Y"/>
    <s v="No"/>
    <x v="0"/>
    <x v="0"/>
    <n v="4"/>
    <x v="0"/>
    <n v="0"/>
    <x v="19"/>
    <n v="3"/>
    <x v="3"/>
    <x v="20"/>
    <x v="5"/>
    <x v="2"/>
    <x v="1"/>
  </r>
  <r>
    <x v="3"/>
    <x v="0"/>
    <s v="Travel_Rarely"/>
    <n v="118"/>
    <x v="0"/>
    <n v="16"/>
    <n v="3"/>
    <s v="Marketing"/>
    <n v="1"/>
    <n v="819"/>
    <x v="3"/>
    <x v="0"/>
    <x v="68"/>
    <x v="0"/>
    <x v="0"/>
    <x v="0"/>
    <x v="3"/>
    <x v="0"/>
    <x v="567"/>
    <x v="587"/>
    <x v="6"/>
    <s v="Y"/>
    <s v="No"/>
    <x v="2"/>
    <x v="0"/>
    <n v="3"/>
    <x v="0"/>
    <n v="0"/>
    <x v="3"/>
    <n v="3"/>
    <x v="1"/>
    <x v="11"/>
    <x v="3"/>
    <x v="0"/>
    <x v="3"/>
  </r>
  <r>
    <x v="40"/>
    <x v="1"/>
    <s v="Travel_Rarely"/>
    <n v="202"/>
    <x v="1"/>
    <n v="2"/>
    <n v="2"/>
    <s v="Other"/>
    <n v="1"/>
    <n v="820"/>
    <x v="1"/>
    <x v="0"/>
    <x v="30"/>
    <x v="0"/>
    <x v="3"/>
    <x v="5"/>
    <x v="0"/>
    <x v="1"/>
    <x v="568"/>
    <x v="588"/>
    <x v="1"/>
    <s v="Y"/>
    <s v="Yes"/>
    <x v="0"/>
    <x v="0"/>
    <n v="3"/>
    <x v="0"/>
    <n v="1"/>
    <x v="12"/>
    <n v="3"/>
    <x v="2"/>
    <x v="34"/>
    <x v="12"/>
    <x v="2"/>
    <x v="2"/>
  </r>
  <r>
    <x v="9"/>
    <x v="1"/>
    <s v="Travel_Rarely"/>
    <n v="676"/>
    <x v="1"/>
    <n v="1"/>
    <n v="3"/>
    <s v="Other"/>
    <n v="1"/>
    <n v="823"/>
    <x v="1"/>
    <x v="0"/>
    <x v="58"/>
    <x v="0"/>
    <x v="0"/>
    <x v="3"/>
    <x v="1"/>
    <x v="1"/>
    <x v="311"/>
    <x v="589"/>
    <x v="4"/>
    <s v="Y"/>
    <s v="No"/>
    <x v="2"/>
    <x v="0"/>
    <n v="1"/>
    <x v="0"/>
    <n v="1"/>
    <x v="1"/>
    <n v="2"/>
    <x v="1"/>
    <x v="7"/>
    <x v="1"/>
    <x v="0"/>
    <x v="0"/>
  </r>
  <r>
    <x v="11"/>
    <x v="1"/>
    <s v="Travel_Rarely"/>
    <n v="1252"/>
    <x v="1"/>
    <n v="23"/>
    <n v="2"/>
    <s v="Life Sciences"/>
    <n v="1"/>
    <n v="824"/>
    <x v="1"/>
    <x v="1"/>
    <x v="6"/>
    <x v="2"/>
    <x v="1"/>
    <x v="1"/>
    <x v="2"/>
    <x v="1"/>
    <x v="569"/>
    <x v="590"/>
    <x v="1"/>
    <s v="Y"/>
    <s v="No"/>
    <x v="13"/>
    <x v="1"/>
    <n v="3"/>
    <x v="0"/>
    <n v="1"/>
    <x v="1"/>
    <n v="3"/>
    <x v="1"/>
    <x v="1"/>
    <x v="1"/>
    <x v="0"/>
    <x v="1"/>
  </r>
  <r>
    <x v="34"/>
    <x v="0"/>
    <s v="Travel_Rarely"/>
    <n v="286"/>
    <x v="1"/>
    <n v="2"/>
    <n v="4"/>
    <s v="Life Sciences"/>
    <n v="1"/>
    <n v="825"/>
    <x v="2"/>
    <x v="1"/>
    <x v="11"/>
    <x v="0"/>
    <x v="4"/>
    <x v="7"/>
    <x v="1"/>
    <x v="0"/>
    <x v="570"/>
    <x v="591"/>
    <x v="8"/>
    <s v="Y"/>
    <s v="Yes"/>
    <x v="3"/>
    <x v="0"/>
    <n v="4"/>
    <x v="0"/>
    <n v="0"/>
    <x v="32"/>
    <n v="2"/>
    <x v="1"/>
    <x v="31"/>
    <x v="11"/>
    <x v="11"/>
    <x v="5"/>
  </r>
  <r>
    <x v="10"/>
    <x v="1"/>
    <s v="Travel_Rarely"/>
    <n v="1258"/>
    <x v="1"/>
    <n v="1"/>
    <n v="4"/>
    <s v="Life Sciences"/>
    <n v="1"/>
    <n v="826"/>
    <x v="2"/>
    <x v="0"/>
    <x v="4"/>
    <x v="2"/>
    <x v="1"/>
    <x v="1"/>
    <x v="2"/>
    <x v="0"/>
    <x v="571"/>
    <x v="592"/>
    <x v="9"/>
    <s v="Y"/>
    <s v="No"/>
    <x v="4"/>
    <x v="0"/>
    <n v="3"/>
    <x v="0"/>
    <n v="0"/>
    <x v="2"/>
    <n v="0"/>
    <x v="1"/>
    <x v="4"/>
    <x v="3"/>
    <x v="3"/>
    <x v="3"/>
  </r>
  <r>
    <x v="19"/>
    <x v="1"/>
    <s v="Travel_Rarely"/>
    <n v="932"/>
    <x v="1"/>
    <n v="1"/>
    <n v="2"/>
    <s v="Life Sciences"/>
    <n v="1"/>
    <n v="827"/>
    <x v="2"/>
    <x v="0"/>
    <x v="38"/>
    <x v="1"/>
    <x v="0"/>
    <x v="3"/>
    <x v="0"/>
    <x v="1"/>
    <x v="572"/>
    <x v="593"/>
    <x v="3"/>
    <s v="Y"/>
    <s v="Yes"/>
    <x v="4"/>
    <x v="0"/>
    <n v="4"/>
    <x v="0"/>
    <n v="1"/>
    <x v="0"/>
    <n v="4"/>
    <x v="1"/>
    <x v="9"/>
    <x v="7"/>
    <x v="0"/>
    <x v="3"/>
  </r>
  <r>
    <x v="14"/>
    <x v="0"/>
    <s v="Travel_Rarely"/>
    <n v="890"/>
    <x v="1"/>
    <n v="2"/>
    <n v="4"/>
    <s v="Medical"/>
    <n v="1"/>
    <n v="828"/>
    <x v="1"/>
    <x v="1"/>
    <x v="55"/>
    <x v="0"/>
    <x v="1"/>
    <x v="1"/>
    <x v="2"/>
    <x v="0"/>
    <x v="573"/>
    <x v="594"/>
    <x v="2"/>
    <s v="Y"/>
    <s v="No"/>
    <x v="8"/>
    <x v="0"/>
    <n v="4"/>
    <x v="0"/>
    <n v="0"/>
    <x v="7"/>
    <n v="3"/>
    <x v="2"/>
    <x v="4"/>
    <x v="3"/>
    <x v="3"/>
    <x v="9"/>
  </r>
  <r>
    <x v="9"/>
    <x v="1"/>
    <s v="Travel_Rarely"/>
    <n v="1041"/>
    <x v="2"/>
    <n v="13"/>
    <n v="3"/>
    <s v="Human Resources"/>
    <n v="1"/>
    <n v="829"/>
    <x v="1"/>
    <x v="1"/>
    <x v="34"/>
    <x v="0"/>
    <x v="1"/>
    <x v="8"/>
    <x v="1"/>
    <x v="1"/>
    <x v="574"/>
    <x v="595"/>
    <x v="5"/>
    <s v="Y"/>
    <s v="No"/>
    <x v="4"/>
    <x v="0"/>
    <n v="2"/>
    <x v="0"/>
    <n v="1"/>
    <x v="0"/>
    <n v="2"/>
    <x v="1"/>
    <x v="8"/>
    <x v="3"/>
    <x v="0"/>
    <x v="10"/>
  </r>
  <r>
    <x v="5"/>
    <x v="1"/>
    <s v="Travel_Rarely"/>
    <n v="859"/>
    <x v="1"/>
    <n v="4"/>
    <n v="3"/>
    <s v="Life Sciences"/>
    <n v="1"/>
    <n v="830"/>
    <x v="1"/>
    <x v="0"/>
    <x v="33"/>
    <x v="1"/>
    <x v="0"/>
    <x v="3"/>
    <x v="2"/>
    <x v="1"/>
    <x v="57"/>
    <x v="596"/>
    <x v="1"/>
    <s v="Y"/>
    <s v="No"/>
    <x v="3"/>
    <x v="0"/>
    <n v="3"/>
    <x v="0"/>
    <n v="1"/>
    <x v="19"/>
    <n v="3"/>
    <x v="1"/>
    <x v="13"/>
    <x v="9"/>
    <x v="7"/>
    <x v="5"/>
  </r>
  <r>
    <x v="32"/>
    <x v="1"/>
    <s v="Travel_Frequently"/>
    <n v="720"/>
    <x v="1"/>
    <n v="16"/>
    <n v="4"/>
    <s v="Medical"/>
    <n v="1"/>
    <n v="832"/>
    <x v="3"/>
    <x v="1"/>
    <x v="14"/>
    <x v="1"/>
    <x v="0"/>
    <x v="2"/>
    <x v="2"/>
    <x v="0"/>
    <x v="575"/>
    <x v="597"/>
    <x v="2"/>
    <s v="Y"/>
    <s v="No"/>
    <x v="9"/>
    <x v="0"/>
    <n v="4"/>
    <x v="0"/>
    <n v="0"/>
    <x v="1"/>
    <n v="6"/>
    <x v="1"/>
    <x v="6"/>
    <x v="2"/>
    <x v="0"/>
    <x v="2"/>
  </r>
  <r>
    <x v="7"/>
    <x v="1"/>
    <s v="Travel_Rarely"/>
    <n v="946"/>
    <x v="1"/>
    <n v="2"/>
    <n v="3"/>
    <s v="Medical"/>
    <n v="1"/>
    <n v="833"/>
    <x v="1"/>
    <x v="0"/>
    <x v="48"/>
    <x v="1"/>
    <x v="0"/>
    <x v="3"/>
    <x v="0"/>
    <x v="0"/>
    <x v="576"/>
    <x v="598"/>
    <x v="6"/>
    <s v="Y"/>
    <s v="Yes"/>
    <x v="13"/>
    <x v="1"/>
    <n v="2"/>
    <x v="0"/>
    <n v="0"/>
    <x v="4"/>
    <n v="4"/>
    <x v="2"/>
    <x v="2"/>
    <x v="2"/>
    <x v="0"/>
    <x v="2"/>
  </r>
  <r>
    <x v="28"/>
    <x v="1"/>
    <s v="Travel_Rarely"/>
    <n v="252"/>
    <x v="1"/>
    <n v="2"/>
    <n v="3"/>
    <s v="Life Sciences"/>
    <n v="1"/>
    <n v="834"/>
    <x v="0"/>
    <x v="0"/>
    <x v="41"/>
    <x v="1"/>
    <x v="1"/>
    <x v="1"/>
    <x v="2"/>
    <x v="0"/>
    <x v="577"/>
    <x v="599"/>
    <x v="1"/>
    <s v="Y"/>
    <s v="No"/>
    <x v="9"/>
    <x v="0"/>
    <n v="4"/>
    <x v="0"/>
    <n v="0"/>
    <x v="5"/>
    <n v="3"/>
    <x v="1"/>
    <x v="6"/>
    <x v="2"/>
    <x v="0"/>
    <x v="2"/>
  </r>
  <r>
    <x v="19"/>
    <x v="1"/>
    <s v="Travel_Rarely"/>
    <n v="933"/>
    <x v="1"/>
    <n v="29"/>
    <n v="3"/>
    <s v="Life Sciences"/>
    <n v="1"/>
    <n v="836"/>
    <x v="0"/>
    <x v="1"/>
    <x v="33"/>
    <x v="0"/>
    <x v="0"/>
    <x v="3"/>
    <x v="1"/>
    <x v="1"/>
    <x v="578"/>
    <x v="600"/>
    <x v="1"/>
    <s v="Y"/>
    <s v="No"/>
    <x v="4"/>
    <x v="0"/>
    <n v="4"/>
    <x v="0"/>
    <n v="1"/>
    <x v="1"/>
    <n v="3"/>
    <x v="2"/>
    <x v="7"/>
    <x v="6"/>
    <x v="4"/>
    <x v="5"/>
  </r>
  <r>
    <x v="8"/>
    <x v="1"/>
    <s v="Travel_Frequently"/>
    <n v="471"/>
    <x v="1"/>
    <n v="12"/>
    <n v="3"/>
    <s v="Life Sciences"/>
    <n v="1"/>
    <n v="837"/>
    <x v="3"/>
    <x v="1"/>
    <x v="18"/>
    <x v="1"/>
    <x v="0"/>
    <x v="4"/>
    <x v="3"/>
    <x v="2"/>
    <x v="579"/>
    <x v="601"/>
    <x v="7"/>
    <s v="Y"/>
    <s v="No"/>
    <x v="2"/>
    <x v="0"/>
    <n v="3"/>
    <x v="0"/>
    <n v="1"/>
    <x v="10"/>
    <n v="3"/>
    <x v="2"/>
    <x v="9"/>
    <x v="7"/>
    <x v="1"/>
    <x v="3"/>
  </r>
  <r>
    <x v="13"/>
    <x v="1"/>
    <s v="Travel_Frequently"/>
    <n v="702"/>
    <x v="1"/>
    <n v="16"/>
    <n v="4"/>
    <s v="Life Sciences"/>
    <n v="1"/>
    <n v="838"/>
    <x v="1"/>
    <x v="0"/>
    <x v="54"/>
    <x v="1"/>
    <x v="1"/>
    <x v="1"/>
    <x v="0"/>
    <x v="0"/>
    <x v="580"/>
    <x v="602"/>
    <x v="1"/>
    <s v="Y"/>
    <s v="No"/>
    <x v="10"/>
    <x v="0"/>
    <n v="3"/>
    <x v="0"/>
    <n v="0"/>
    <x v="3"/>
    <n v="3"/>
    <x v="1"/>
    <x v="8"/>
    <x v="3"/>
    <x v="1"/>
    <x v="6"/>
  </r>
  <r>
    <x v="1"/>
    <x v="0"/>
    <s v="Travel_Rarely"/>
    <n v="1184"/>
    <x v="0"/>
    <n v="11"/>
    <n v="3"/>
    <s v="Marketing"/>
    <n v="1"/>
    <n v="840"/>
    <x v="1"/>
    <x v="0"/>
    <x v="38"/>
    <x v="0"/>
    <x v="2"/>
    <x v="0"/>
    <x v="0"/>
    <x v="1"/>
    <x v="581"/>
    <x v="603"/>
    <x v="1"/>
    <s v="Y"/>
    <s v="No"/>
    <x v="11"/>
    <x v="0"/>
    <n v="1"/>
    <x v="0"/>
    <n v="2"/>
    <x v="15"/>
    <n v="3"/>
    <x v="3"/>
    <x v="7"/>
    <x v="6"/>
    <x v="4"/>
    <x v="1"/>
  </r>
  <r>
    <x v="27"/>
    <x v="0"/>
    <s v="Travel_Rarely"/>
    <n v="436"/>
    <x v="0"/>
    <n v="2"/>
    <n v="1"/>
    <s v="Medical"/>
    <n v="1"/>
    <n v="842"/>
    <x v="1"/>
    <x v="1"/>
    <x v="31"/>
    <x v="0"/>
    <x v="0"/>
    <x v="0"/>
    <x v="0"/>
    <x v="0"/>
    <x v="582"/>
    <x v="604"/>
    <x v="5"/>
    <s v="Y"/>
    <s v="No"/>
    <x v="10"/>
    <x v="0"/>
    <n v="3"/>
    <x v="0"/>
    <n v="0"/>
    <x v="4"/>
    <n v="3"/>
    <x v="2"/>
    <x v="7"/>
    <x v="1"/>
    <x v="4"/>
    <x v="6"/>
  </r>
  <r>
    <x v="23"/>
    <x v="1"/>
    <s v="Travel_Rarely"/>
    <n v="589"/>
    <x v="1"/>
    <n v="14"/>
    <n v="2"/>
    <s v="Life Sciences"/>
    <n v="1"/>
    <n v="843"/>
    <x v="0"/>
    <x v="1"/>
    <x v="0"/>
    <x v="0"/>
    <x v="3"/>
    <x v="7"/>
    <x v="3"/>
    <x v="1"/>
    <x v="583"/>
    <x v="605"/>
    <x v="2"/>
    <s v="Y"/>
    <s v="No"/>
    <x v="13"/>
    <x v="1"/>
    <n v="3"/>
    <x v="0"/>
    <n v="1"/>
    <x v="14"/>
    <n v="3"/>
    <x v="1"/>
    <x v="9"/>
    <x v="10"/>
    <x v="1"/>
    <x v="2"/>
  </r>
  <r>
    <x v="4"/>
    <x v="1"/>
    <s v="Travel_Rarely"/>
    <n v="269"/>
    <x v="1"/>
    <n v="5"/>
    <n v="1"/>
    <s v="Technical Degree"/>
    <n v="1"/>
    <n v="844"/>
    <x v="1"/>
    <x v="1"/>
    <x v="25"/>
    <x v="1"/>
    <x v="2"/>
    <x v="7"/>
    <x v="0"/>
    <x v="2"/>
    <x v="584"/>
    <x v="606"/>
    <x v="1"/>
    <s v="Y"/>
    <s v="Yes"/>
    <x v="10"/>
    <x v="0"/>
    <n v="2"/>
    <x v="0"/>
    <n v="1"/>
    <x v="15"/>
    <n v="3"/>
    <x v="1"/>
    <x v="7"/>
    <x v="6"/>
    <x v="0"/>
    <x v="5"/>
  </r>
  <r>
    <x v="10"/>
    <x v="1"/>
    <s v="Travel_Rarely"/>
    <n v="950"/>
    <x v="1"/>
    <n v="7"/>
    <n v="3"/>
    <s v="Other"/>
    <n v="1"/>
    <n v="845"/>
    <x v="1"/>
    <x v="1"/>
    <x v="40"/>
    <x v="0"/>
    <x v="2"/>
    <x v="3"/>
    <x v="2"/>
    <x v="0"/>
    <x v="585"/>
    <x v="607"/>
    <x v="9"/>
    <s v="Y"/>
    <s v="No"/>
    <x v="7"/>
    <x v="1"/>
    <n v="2"/>
    <x v="0"/>
    <n v="0"/>
    <x v="6"/>
    <n v="3"/>
    <x v="3"/>
    <x v="3"/>
    <x v="4"/>
    <x v="1"/>
    <x v="4"/>
  </r>
  <r>
    <x v="14"/>
    <x v="1"/>
    <s v="Travel_Rarely"/>
    <n v="760"/>
    <x v="0"/>
    <n v="2"/>
    <n v="4"/>
    <s v="Marketing"/>
    <n v="1"/>
    <n v="846"/>
    <x v="0"/>
    <x v="0"/>
    <x v="6"/>
    <x v="0"/>
    <x v="0"/>
    <x v="0"/>
    <x v="1"/>
    <x v="1"/>
    <x v="586"/>
    <x v="608"/>
    <x v="1"/>
    <s v="Y"/>
    <s v="Yes"/>
    <x v="5"/>
    <x v="1"/>
    <n v="1"/>
    <x v="0"/>
    <n v="0"/>
    <x v="0"/>
    <n v="2"/>
    <x v="1"/>
    <x v="3"/>
    <x v="1"/>
    <x v="4"/>
    <x v="0"/>
  </r>
  <r>
    <x v="13"/>
    <x v="1"/>
    <s v="Travel_Rarely"/>
    <n v="829"/>
    <x v="2"/>
    <n v="3"/>
    <n v="2"/>
    <s v="Human Resources"/>
    <n v="1"/>
    <n v="847"/>
    <x v="1"/>
    <x v="1"/>
    <x v="64"/>
    <x v="0"/>
    <x v="1"/>
    <x v="8"/>
    <x v="0"/>
    <x v="1"/>
    <x v="587"/>
    <x v="609"/>
    <x v="4"/>
    <s v="Y"/>
    <s v="No"/>
    <x v="12"/>
    <x v="0"/>
    <n v="3"/>
    <x v="0"/>
    <n v="1"/>
    <x v="21"/>
    <n v="1"/>
    <x v="0"/>
    <x v="11"/>
    <x v="3"/>
    <x v="0"/>
    <x v="3"/>
  </r>
  <r>
    <x v="25"/>
    <x v="0"/>
    <s v="Travel_Frequently"/>
    <n v="887"/>
    <x v="1"/>
    <n v="5"/>
    <n v="2"/>
    <s v="Medical"/>
    <n v="1"/>
    <n v="848"/>
    <x v="1"/>
    <x v="0"/>
    <x v="64"/>
    <x v="1"/>
    <x v="1"/>
    <x v="1"/>
    <x v="2"/>
    <x v="1"/>
    <x v="588"/>
    <x v="610"/>
    <x v="1"/>
    <s v="Y"/>
    <s v="Yes"/>
    <x v="9"/>
    <x v="0"/>
    <n v="1"/>
    <x v="0"/>
    <n v="1"/>
    <x v="0"/>
    <n v="2"/>
    <x v="1"/>
    <x v="3"/>
    <x v="1"/>
    <x v="1"/>
    <x v="1"/>
  </r>
  <r>
    <x v="4"/>
    <x v="1"/>
    <s v="Non-Travel"/>
    <n v="443"/>
    <x v="1"/>
    <n v="3"/>
    <n v="3"/>
    <s v="Medical"/>
    <n v="1"/>
    <n v="850"/>
    <x v="2"/>
    <x v="1"/>
    <x v="13"/>
    <x v="0"/>
    <x v="1"/>
    <x v="1"/>
    <x v="0"/>
    <x v="1"/>
    <x v="589"/>
    <x v="611"/>
    <x v="1"/>
    <s v="Y"/>
    <s v="No"/>
    <x v="0"/>
    <x v="0"/>
    <n v="3"/>
    <x v="0"/>
    <n v="3"/>
    <x v="11"/>
    <n v="6"/>
    <x v="2"/>
    <x v="2"/>
    <x v="2"/>
    <x v="0"/>
    <x v="2"/>
  </r>
  <r>
    <x v="31"/>
    <x v="1"/>
    <s v="Travel_Rarely"/>
    <n v="1318"/>
    <x v="0"/>
    <n v="26"/>
    <n v="4"/>
    <s v="Marketing"/>
    <n v="1"/>
    <n v="851"/>
    <x v="3"/>
    <x v="0"/>
    <x v="45"/>
    <x v="0"/>
    <x v="3"/>
    <x v="5"/>
    <x v="2"/>
    <x v="1"/>
    <x v="590"/>
    <x v="612"/>
    <x v="7"/>
    <s v="Y"/>
    <s v="No"/>
    <x v="9"/>
    <x v="0"/>
    <n v="3"/>
    <x v="0"/>
    <n v="1"/>
    <x v="22"/>
    <n v="2"/>
    <x v="2"/>
    <x v="23"/>
    <x v="8"/>
    <x v="5"/>
    <x v="8"/>
  </r>
  <r>
    <x v="20"/>
    <x v="1"/>
    <s v="Travel_Rarely"/>
    <n v="625"/>
    <x v="1"/>
    <n v="4"/>
    <n v="3"/>
    <s v="Medical"/>
    <n v="1"/>
    <n v="852"/>
    <x v="2"/>
    <x v="1"/>
    <x v="13"/>
    <x v="0"/>
    <x v="0"/>
    <x v="4"/>
    <x v="1"/>
    <x v="0"/>
    <x v="591"/>
    <x v="613"/>
    <x v="3"/>
    <s v="Y"/>
    <s v="No"/>
    <x v="3"/>
    <x v="0"/>
    <n v="4"/>
    <x v="0"/>
    <n v="0"/>
    <x v="1"/>
    <n v="2"/>
    <x v="2"/>
    <x v="8"/>
    <x v="3"/>
    <x v="3"/>
    <x v="6"/>
  </r>
  <r>
    <x v="36"/>
    <x v="1"/>
    <s v="Travel_Rarely"/>
    <n v="180"/>
    <x v="1"/>
    <n v="2"/>
    <n v="1"/>
    <s v="Medical"/>
    <n v="1"/>
    <n v="854"/>
    <x v="3"/>
    <x v="1"/>
    <x v="63"/>
    <x v="2"/>
    <x v="1"/>
    <x v="1"/>
    <x v="3"/>
    <x v="0"/>
    <x v="592"/>
    <x v="614"/>
    <x v="8"/>
    <s v="Y"/>
    <s v="No"/>
    <x v="4"/>
    <x v="0"/>
    <n v="3"/>
    <x v="0"/>
    <n v="0"/>
    <x v="3"/>
    <n v="3"/>
    <x v="2"/>
    <x v="9"/>
    <x v="7"/>
    <x v="0"/>
    <x v="9"/>
  </r>
  <r>
    <x v="3"/>
    <x v="1"/>
    <s v="Travel_Rarely"/>
    <n v="586"/>
    <x v="0"/>
    <n v="1"/>
    <n v="3"/>
    <s v="Medical"/>
    <n v="1"/>
    <n v="855"/>
    <x v="3"/>
    <x v="1"/>
    <x v="24"/>
    <x v="2"/>
    <x v="0"/>
    <x v="0"/>
    <x v="3"/>
    <x v="2"/>
    <x v="593"/>
    <x v="615"/>
    <x v="1"/>
    <s v="Y"/>
    <s v="No"/>
    <x v="6"/>
    <x v="1"/>
    <n v="1"/>
    <x v="0"/>
    <n v="1"/>
    <x v="15"/>
    <n v="5"/>
    <x v="1"/>
    <x v="7"/>
    <x v="6"/>
    <x v="0"/>
    <x v="5"/>
  </r>
  <r>
    <x v="10"/>
    <x v="1"/>
    <s v="Travel_Rarely"/>
    <n v="1343"/>
    <x v="1"/>
    <n v="27"/>
    <n v="1"/>
    <s v="Medical"/>
    <n v="1"/>
    <n v="856"/>
    <x v="1"/>
    <x v="0"/>
    <x v="20"/>
    <x v="1"/>
    <x v="1"/>
    <x v="1"/>
    <x v="3"/>
    <x v="0"/>
    <x v="594"/>
    <x v="616"/>
    <x v="1"/>
    <s v="Y"/>
    <s v="No"/>
    <x v="0"/>
    <x v="0"/>
    <n v="4"/>
    <x v="0"/>
    <n v="0"/>
    <x v="3"/>
    <n v="3"/>
    <x v="2"/>
    <x v="0"/>
    <x v="4"/>
    <x v="1"/>
    <x v="9"/>
  </r>
  <r>
    <x v="9"/>
    <x v="1"/>
    <s v="Travel_Rarely"/>
    <n v="928"/>
    <x v="0"/>
    <n v="1"/>
    <n v="2"/>
    <s v="Life Sciences"/>
    <n v="1"/>
    <n v="857"/>
    <x v="0"/>
    <x v="1"/>
    <x v="3"/>
    <x v="0"/>
    <x v="0"/>
    <x v="0"/>
    <x v="0"/>
    <x v="1"/>
    <x v="595"/>
    <x v="617"/>
    <x v="1"/>
    <s v="Y"/>
    <s v="Yes"/>
    <x v="9"/>
    <x v="0"/>
    <n v="4"/>
    <x v="0"/>
    <n v="1"/>
    <x v="33"/>
    <n v="1"/>
    <x v="2"/>
    <x v="29"/>
    <x v="12"/>
    <x v="5"/>
    <x v="7"/>
  </r>
  <r>
    <x v="5"/>
    <x v="1"/>
    <s v="Travel_Rarely"/>
    <n v="117"/>
    <x v="0"/>
    <n v="13"/>
    <n v="4"/>
    <s v="Life Sciences"/>
    <n v="1"/>
    <n v="859"/>
    <x v="0"/>
    <x v="1"/>
    <x v="32"/>
    <x v="0"/>
    <x v="0"/>
    <x v="0"/>
    <x v="0"/>
    <x v="2"/>
    <x v="596"/>
    <x v="618"/>
    <x v="7"/>
    <s v="Y"/>
    <s v="No"/>
    <x v="0"/>
    <x v="0"/>
    <n v="3"/>
    <x v="0"/>
    <n v="1"/>
    <x v="0"/>
    <n v="3"/>
    <x v="2"/>
    <x v="8"/>
    <x v="3"/>
    <x v="0"/>
    <x v="6"/>
  </r>
  <r>
    <x v="7"/>
    <x v="1"/>
    <s v="Travel_Frequently"/>
    <n v="1012"/>
    <x v="1"/>
    <n v="5"/>
    <n v="4"/>
    <s v="Life Sciences"/>
    <n v="1"/>
    <n v="861"/>
    <x v="0"/>
    <x v="1"/>
    <x v="29"/>
    <x v="1"/>
    <x v="1"/>
    <x v="1"/>
    <x v="0"/>
    <x v="2"/>
    <x v="597"/>
    <x v="619"/>
    <x v="3"/>
    <s v="Y"/>
    <s v="No"/>
    <x v="3"/>
    <x v="0"/>
    <n v="2"/>
    <x v="0"/>
    <n v="1"/>
    <x v="1"/>
    <n v="3"/>
    <x v="2"/>
    <x v="8"/>
    <x v="0"/>
    <x v="0"/>
    <x v="6"/>
  </r>
  <r>
    <x v="16"/>
    <x v="1"/>
    <s v="Travel_Rarely"/>
    <n v="661"/>
    <x v="0"/>
    <n v="7"/>
    <n v="2"/>
    <s v="Marketing"/>
    <n v="1"/>
    <n v="862"/>
    <x v="3"/>
    <x v="0"/>
    <x v="17"/>
    <x v="1"/>
    <x v="2"/>
    <x v="0"/>
    <x v="0"/>
    <x v="1"/>
    <x v="598"/>
    <x v="620"/>
    <x v="8"/>
    <s v="Y"/>
    <s v="Yes"/>
    <x v="11"/>
    <x v="0"/>
    <n v="4"/>
    <x v="0"/>
    <n v="1"/>
    <x v="38"/>
    <n v="3"/>
    <x v="1"/>
    <x v="8"/>
    <x v="3"/>
    <x v="0"/>
    <x v="10"/>
  </r>
  <r>
    <x v="28"/>
    <x v="1"/>
    <s v="Travel_Rarely"/>
    <n v="930"/>
    <x v="0"/>
    <n v="9"/>
    <n v="3"/>
    <s v="Marketing"/>
    <n v="1"/>
    <n v="864"/>
    <x v="2"/>
    <x v="1"/>
    <x v="69"/>
    <x v="0"/>
    <x v="2"/>
    <x v="0"/>
    <x v="3"/>
    <x v="2"/>
    <x v="599"/>
    <x v="621"/>
    <x v="5"/>
    <s v="Y"/>
    <s v="Yes"/>
    <x v="3"/>
    <x v="0"/>
    <n v="3"/>
    <x v="0"/>
    <n v="1"/>
    <x v="33"/>
    <n v="2"/>
    <x v="1"/>
    <x v="8"/>
    <x v="0"/>
    <x v="0"/>
    <x v="3"/>
  </r>
  <r>
    <x v="5"/>
    <x v="1"/>
    <s v="Travel_Rarely"/>
    <n v="638"/>
    <x v="1"/>
    <n v="8"/>
    <n v="2"/>
    <s v="Medical"/>
    <n v="1"/>
    <n v="865"/>
    <x v="1"/>
    <x v="0"/>
    <x v="59"/>
    <x v="2"/>
    <x v="0"/>
    <x v="1"/>
    <x v="2"/>
    <x v="1"/>
    <x v="600"/>
    <x v="622"/>
    <x v="6"/>
    <s v="Y"/>
    <s v="No"/>
    <x v="3"/>
    <x v="0"/>
    <n v="3"/>
    <x v="0"/>
    <n v="1"/>
    <x v="15"/>
    <n v="3"/>
    <x v="2"/>
    <x v="8"/>
    <x v="7"/>
    <x v="1"/>
    <x v="6"/>
  </r>
  <r>
    <x v="39"/>
    <x v="1"/>
    <s v="Travel_Frequently"/>
    <n v="890"/>
    <x v="1"/>
    <n v="25"/>
    <n v="4"/>
    <s v="Medical"/>
    <n v="1"/>
    <n v="867"/>
    <x v="1"/>
    <x v="0"/>
    <x v="6"/>
    <x v="1"/>
    <x v="3"/>
    <x v="3"/>
    <x v="0"/>
    <x v="1"/>
    <x v="601"/>
    <x v="623"/>
    <x v="9"/>
    <s v="Y"/>
    <s v="No"/>
    <x v="6"/>
    <x v="1"/>
    <n v="3"/>
    <x v="0"/>
    <n v="0"/>
    <x v="9"/>
    <n v="3"/>
    <x v="1"/>
    <x v="7"/>
    <x v="6"/>
    <x v="0"/>
    <x v="2"/>
  </r>
  <r>
    <x v="2"/>
    <x v="1"/>
    <s v="Travel_Rarely"/>
    <n v="342"/>
    <x v="0"/>
    <n v="16"/>
    <n v="4"/>
    <s v="Marketing"/>
    <n v="1"/>
    <n v="868"/>
    <x v="2"/>
    <x v="1"/>
    <x v="45"/>
    <x v="1"/>
    <x v="0"/>
    <x v="0"/>
    <x v="2"/>
    <x v="2"/>
    <x v="602"/>
    <x v="624"/>
    <x v="5"/>
    <s v="Y"/>
    <s v="No"/>
    <x v="12"/>
    <x v="0"/>
    <n v="4"/>
    <x v="0"/>
    <n v="2"/>
    <x v="15"/>
    <n v="2"/>
    <x v="1"/>
    <x v="6"/>
    <x v="2"/>
    <x v="0"/>
    <x v="2"/>
  </r>
  <r>
    <x v="14"/>
    <x v="1"/>
    <s v="Travel_Rarely"/>
    <n v="1169"/>
    <x v="2"/>
    <n v="8"/>
    <n v="2"/>
    <s v="Medical"/>
    <n v="1"/>
    <n v="869"/>
    <x v="0"/>
    <x v="1"/>
    <x v="52"/>
    <x v="1"/>
    <x v="1"/>
    <x v="8"/>
    <x v="0"/>
    <x v="2"/>
    <x v="365"/>
    <x v="625"/>
    <x v="1"/>
    <s v="Y"/>
    <s v="No"/>
    <x v="4"/>
    <x v="0"/>
    <n v="4"/>
    <x v="0"/>
    <n v="1"/>
    <x v="3"/>
    <n v="6"/>
    <x v="1"/>
    <x v="8"/>
    <x v="10"/>
    <x v="0"/>
    <x v="10"/>
  </r>
  <r>
    <x v="15"/>
    <x v="1"/>
    <s v="Travel_Rarely"/>
    <n v="1230"/>
    <x v="1"/>
    <n v="1"/>
    <n v="2"/>
    <s v="Life Sciences"/>
    <n v="1"/>
    <n v="872"/>
    <x v="2"/>
    <x v="1"/>
    <x v="30"/>
    <x v="1"/>
    <x v="0"/>
    <x v="3"/>
    <x v="0"/>
    <x v="1"/>
    <x v="603"/>
    <x v="626"/>
    <x v="2"/>
    <s v="Y"/>
    <s v="No"/>
    <x v="6"/>
    <x v="1"/>
    <n v="1"/>
    <x v="0"/>
    <n v="2"/>
    <x v="21"/>
    <n v="2"/>
    <x v="0"/>
    <x v="4"/>
    <x v="3"/>
    <x v="3"/>
    <x v="3"/>
  </r>
  <r>
    <x v="20"/>
    <x v="1"/>
    <s v="Travel_Rarely"/>
    <n v="986"/>
    <x v="1"/>
    <n v="8"/>
    <n v="4"/>
    <s v="Life Sciences"/>
    <n v="1"/>
    <n v="874"/>
    <x v="3"/>
    <x v="1"/>
    <x v="50"/>
    <x v="2"/>
    <x v="1"/>
    <x v="2"/>
    <x v="0"/>
    <x v="1"/>
    <x v="604"/>
    <x v="627"/>
    <x v="7"/>
    <s v="Y"/>
    <s v="Yes"/>
    <x v="13"/>
    <x v="1"/>
    <n v="3"/>
    <x v="0"/>
    <n v="1"/>
    <x v="1"/>
    <n v="2"/>
    <x v="2"/>
    <x v="11"/>
    <x v="3"/>
    <x v="0"/>
    <x v="3"/>
  </r>
  <r>
    <x v="19"/>
    <x v="1"/>
    <s v="Travel_Frequently"/>
    <n v="1271"/>
    <x v="1"/>
    <n v="2"/>
    <n v="1"/>
    <s v="Medical"/>
    <n v="1"/>
    <n v="875"/>
    <x v="0"/>
    <x v="1"/>
    <x v="58"/>
    <x v="0"/>
    <x v="1"/>
    <x v="1"/>
    <x v="0"/>
    <x v="0"/>
    <x v="605"/>
    <x v="628"/>
    <x v="6"/>
    <s v="Y"/>
    <s v="Yes"/>
    <x v="9"/>
    <x v="0"/>
    <n v="4"/>
    <x v="0"/>
    <n v="0"/>
    <x v="0"/>
    <n v="2"/>
    <x v="1"/>
    <x v="4"/>
    <x v="10"/>
    <x v="3"/>
    <x v="3"/>
  </r>
  <r>
    <x v="9"/>
    <x v="1"/>
    <s v="Travel_Rarely"/>
    <n v="1278"/>
    <x v="2"/>
    <n v="8"/>
    <n v="3"/>
    <s v="Life Sciences"/>
    <n v="1"/>
    <n v="878"/>
    <x v="3"/>
    <x v="1"/>
    <x v="57"/>
    <x v="1"/>
    <x v="1"/>
    <x v="8"/>
    <x v="3"/>
    <x v="1"/>
    <x v="531"/>
    <x v="629"/>
    <x v="4"/>
    <s v="Y"/>
    <s v="No"/>
    <x v="7"/>
    <x v="1"/>
    <n v="3"/>
    <x v="0"/>
    <n v="0"/>
    <x v="3"/>
    <n v="3"/>
    <x v="1"/>
    <x v="8"/>
    <x v="0"/>
    <x v="0"/>
    <x v="6"/>
  </r>
  <r>
    <x v="36"/>
    <x v="1"/>
    <s v="Travel_Rarely"/>
    <n v="141"/>
    <x v="0"/>
    <n v="3"/>
    <n v="1"/>
    <s v="Other"/>
    <n v="1"/>
    <n v="879"/>
    <x v="1"/>
    <x v="1"/>
    <x v="33"/>
    <x v="0"/>
    <x v="0"/>
    <x v="0"/>
    <x v="3"/>
    <x v="1"/>
    <x v="606"/>
    <x v="630"/>
    <x v="1"/>
    <s v="Y"/>
    <s v="Yes"/>
    <x v="11"/>
    <x v="0"/>
    <n v="4"/>
    <x v="0"/>
    <n v="0"/>
    <x v="7"/>
    <n v="3"/>
    <x v="1"/>
    <x v="8"/>
    <x v="7"/>
    <x v="0"/>
    <x v="6"/>
  </r>
  <r>
    <x v="10"/>
    <x v="1"/>
    <s v="Travel_Rarely"/>
    <n v="607"/>
    <x v="1"/>
    <n v="9"/>
    <n v="3"/>
    <s v="Life Sciences"/>
    <n v="1"/>
    <n v="880"/>
    <x v="2"/>
    <x v="0"/>
    <x v="45"/>
    <x v="1"/>
    <x v="2"/>
    <x v="3"/>
    <x v="2"/>
    <x v="1"/>
    <x v="607"/>
    <x v="631"/>
    <x v="1"/>
    <s v="Y"/>
    <s v="Yes"/>
    <x v="5"/>
    <x v="1"/>
    <n v="2"/>
    <x v="0"/>
    <n v="1"/>
    <x v="6"/>
    <n v="2"/>
    <x v="1"/>
    <x v="18"/>
    <x v="12"/>
    <x v="8"/>
    <x v="14"/>
  </r>
  <r>
    <x v="10"/>
    <x v="0"/>
    <s v="Travel_Frequently"/>
    <n v="130"/>
    <x v="1"/>
    <n v="25"/>
    <n v="4"/>
    <s v="Life Sciences"/>
    <n v="1"/>
    <n v="881"/>
    <x v="2"/>
    <x v="0"/>
    <x v="16"/>
    <x v="0"/>
    <x v="1"/>
    <x v="1"/>
    <x v="1"/>
    <x v="2"/>
    <x v="608"/>
    <x v="632"/>
    <x v="1"/>
    <s v="Y"/>
    <s v="Yes"/>
    <x v="12"/>
    <x v="0"/>
    <n v="1"/>
    <x v="0"/>
    <n v="1"/>
    <x v="1"/>
    <n v="3"/>
    <x v="2"/>
    <x v="1"/>
    <x v="3"/>
    <x v="4"/>
    <x v="5"/>
  </r>
  <r>
    <x v="5"/>
    <x v="1"/>
    <s v="Non-Travel"/>
    <n v="300"/>
    <x v="1"/>
    <n v="1"/>
    <n v="3"/>
    <s v="Life Sciences"/>
    <n v="1"/>
    <n v="882"/>
    <x v="2"/>
    <x v="1"/>
    <x v="1"/>
    <x v="0"/>
    <x v="1"/>
    <x v="2"/>
    <x v="0"/>
    <x v="2"/>
    <x v="609"/>
    <x v="633"/>
    <x v="4"/>
    <s v="Y"/>
    <s v="No"/>
    <x v="3"/>
    <x v="0"/>
    <n v="2"/>
    <x v="0"/>
    <n v="1"/>
    <x v="21"/>
    <n v="2"/>
    <x v="1"/>
    <x v="11"/>
    <x v="2"/>
    <x v="0"/>
    <x v="3"/>
  </r>
  <r>
    <x v="36"/>
    <x v="1"/>
    <s v="Travel_Rarely"/>
    <n v="583"/>
    <x v="0"/>
    <n v="4"/>
    <n v="1"/>
    <s v="Marketing"/>
    <n v="1"/>
    <n v="885"/>
    <x v="1"/>
    <x v="1"/>
    <x v="44"/>
    <x v="1"/>
    <x v="0"/>
    <x v="0"/>
    <x v="3"/>
    <x v="1"/>
    <x v="610"/>
    <x v="634"/>
    <x v="1"/>
    <s v="Y"/>
    <s v="No"/>
    <x v="3"/>
    <x v="0"/>
    <n v="1"/>
    <x v="0"/>
    <n v="0"/>
    <x v="7"/>
    <n v="1"/>
    <x v="3"/>
    <x v="8"/>
    <x v="3"/>
    <x v="0"/>
    <x v="6"/>
  </r>
  <r>
    <x v="1"/>
    <x v="1"/>
    <s v="Travel_Rarely"/>
    <n v="1418"/>
    <x v="1"/>
    <n v="1"/>
    <n v="3"/>
    <s v="Technical Degree"/>
    <n v="1"/>
    <n v="887"/>
    <x v="1"/>
    <x v="0"/>
    <x v="34"/>
    <x v="0"/>
    <x v="1"/>
    <x v="1"/>
    <x v="3"/>
    <x v="1"/>
    <x v="611"/>
    <x v="635"/>
    <x v="7"/>
    <s v="Y"/>
    <s v="No"/>
    <x v="10"/>
    <x v="0"/>
    <n v="2"/>
    <x v="0"/>
    <n v="1"/>
    <x v="2"/>
    <n v="2"/>
    <x v="1"/>
    <x v="9"/>
    <x v="3"/>
    <x v="0"/>
    <x v="3"/>
  </r>
  <r>
    <x v="17"/>
    <x v="1"/>
    <s v="Non-Travel"/>
    <n v="1269"/>
    <x v="1"/>
    <n v="4"/>
    <n v="1"/>
    <s v="Life Sciences"/>
    <n v="1"/>
    <n v="888"/>
    <x v="3"/>
    <x v="1"/>
    <x v="55"/>
    <x v="1"/>
    <x v="1"/>
    <x v="2"/>
    <x v="0"/>
    <x v="1"/>
    <x v="612"/>
    <x v="636"/>
    <x v="4"/>
    <s v="Y"/>
    <s v="No"/>
    <x v="8"/>
    <x v="0"/>
    <n v="4"/>
    <x v="0"/>
    <n v="0"/>
    <x v="3"/>
    <n v="2"/>
    <x v="2"/>
    <x v="8"/>
    <x v="3"/>
    <x v="2"/>
    <x v="10"/>
  </r>
  <r>
    <x v="5"/>
    <x v="1"/>
    <s v="Travel_Frequently"/>
    <n v="379"/>
    <x v="0"/>
    <n v="5"/>
    <n v="2"/>
    <s v="Life Sciences"/>
    <n v="1"/>
    <n v="889"/>
    <x v="0"/>
    <x v="1"/>
    <x v="24"/>
    <x v="0"/>
    <x v="0"/>
    <x v="0"/>
    <x v="1"/>
    <x v="1"/>
    <x v="613"/>
    <x v="637"/>
    <x v="1"/>
    <s v="Y"/>
    <s v="No"/>
    <x v="9"/>
    <x v="0"/>
    <n v="4"/>
    <x v="0"/>
    <n v="1"/>
    <x v="1"/>
    <n v="3"/>
    <x v="1"/>
    <x v="1"/>
    <x v="6"/>
    <x v="8"/>
    <x v="6"/>
  </r>
  <r>
    <x v="8"/>
    <x v="1"/>
    <s v="Travel_Rarely"/>
    <n v="395"/>
    <x v="0"/>
    <n v="9"/>
    <n v="3"/>
    <s v="Marketing"/>
    <n v="1"/>
    <n v="893"/>
    <x v="0"/>
    <x v="1"/>
    <x v="33"/>
    <x v="1"/>
    <x v="1"/>
    <x v="6"/>
    <x v="1"/>
    <x v="1"/>
    <x v="614"/>
    <x v="638"/>
    <x v="4"/>
    <s v="Y"/>
    <s v="No"/>
    <x v="12"/>
    <x v="0"/>
    <n v="4"/>
    <x v="0"/>
    <n v="1"/>
    <x v="8"/>
    <n v="3"/>
    <x v="1"/>
    <x v="4"/>
    <x v="3"/>
    <x v="1"/>
    <x v="3"/>
  </r>
  <r>
    <x v="19"/>
    <x v="1"/>
    <s v="Travel_Rarely"/>
    <n v="1265"/>
    <x v="1"/>
    <n v="3"/>
    <n v="3"/>
    <s v="Life Sciences"/>
    <n v="1"/>
    <n v="894"/>
    <x v="1"/>
    <x v="0"/>
    <x v="41"/>
    <x v="2"/>
    <x v="0"/>
    <x v="2"/>
    <x v="0"/>
    <x v="1"/>
    <x v="615"/>
    <x v="639"/>
    <x v="7"/>
    <s v="Y"/>
    <s v="Yes"/>
    <x v="4"/>
    <x v="0"/>
    <n v="2"/>
    <x v="0"/>
    <n v="1"/>
    <x v="6"/>
    <n v="1"/>
    <x v="2"/>
    <x v="8"/>
    <x v="7"/>
    <x v="1"/>
    <x v="6"/>
  </r>
  <r>
    <x v="12"/>
    <x v="1"/>
    <s v="Travel_Rarely"/>
    <n v="1222"/>
    <x v="1"/>
    <n v="11"/>
    <n v="4"/>
    <s v="Life Sciences"/>
    <n v="1"/>
    <n v="895"/>
    <x v="2"/>
    <x v="1"/>
    <x v="24"/>
    <x v="0"/>
    <x v="1"/>
    <x v="1"/>
    <x v="0"/>
    <x v="1"/>
    <x v="616"/>
    <x v="640"/>
    <x v="9"/>
    <s v="Y"/>
    <s v="Yes"/>
    <x v="12"/>
    <x v="0"/>
    <n v="2"/>
    <x v="0"/>
    <n v="1"/>
    <x v="0"/>
    <n v="2"/>
    <x v="1"/>
    <x v="0"/>
    <x v="0"/>
    <x v="0"/>
    <x v="3"/>
  </r>
  <r>
    <x v="11"/>
    <x v="0"/>
    <s v="Travel_Rarely"/>
    <n v="341"/>
    <x v="0"/>
    <n v="1"/>
    <n v="3"/>
    <s v="Medical"/>
    <n v="1"/>
    <n v="896"/>
    <x v="0"/>
    <x v="0"/>
    <x v="24"/>
    <x v="1"/>
    <x v="1"/>
    <x v="6"/>
    <x v="2"/>
    <x v="2"/>
    <x v="617"/>
    <x v="641"/>
    <x v="2"/>
    <s v="Y"/>
    <s v="Yes"/>
    <x v="12"/>
    <x v="0"/>
    <n v="3"/>
    <x v="0"/>
    <n v="3"/>
    <x v="7"/>
    <n v="3"/>
    <x v="1"/>
    <x v="11"/>
    <x v="3"/>
    <x v="0"/>
    <x v="3"/>
  </r>
  <r>
    <x v="16"/>
    <x v="1"/>
    <s v="Travel_Rarely"/>
    <n v="868"/>
    <x v="0"/>
    <n v="8"/>
    <n v="3"/>
    <s v="Marketing"/>
    <n v="1"/>
    <n v="897"/>
    <x v="3"/>
    <x v="1"/>
    <x v="32"/>
    <x v="0"/>
    <x v="3"/>
    <x v="0"/>
    <x v="0"/>
    <x v="1"/>
    <x v="618"/>
    <x v="642"/>
    <x v="6"/>
    <s v="Y"/>
    <s v="No"/>
    <x v="9"/>
    <x v="0"/>
    <n v="3"/>
    <x v="0"/>
    <n v="1"/>
    <x v="23"/>
    <n v="3"/>
    <x v="1"/>
    <x v="4"/>
    <x v="2"/>
    <x v="3"/>
    <x v="3"/>
  </r>
  <r>
    <x v="10"/>
    <x v="1"/>
    <s v="Travel_Rarely"/>
    <n v="672"/>
    <x v="1"/>
    <n v="25"/>
    <n v="3"/>
    <s v="Technical Degree"/>
    <n v="1"/>
    <n v="899"/>
    <x v="2"/>
    <x v="1"/>
    <x v="17"/>
    <x v="1"/>
    <x v="2"/>
    <x v="3"/>
    <x v="1"/>
    <x v="1"/>
    <x v="619"/>
    <x v="440"/>
    <x v="9"/>
    <s v="Y"/>
    <s v="No"/>
    <x v="10"/>
    <x v="0"/>
    <n v="1"/>
    <x v="0"/>
    <n v="0"/>
    <x v="28"/>
    <n v="2"/>
    <x v="1"/>
    <x v="20"/>
    <x v="15"/>
    <x v="5"/>
    <x v="5"/>
  </r>
  <r>
    <x v="2"/>
    <x v="1"/>
    <s v="Travel_Frequently"/>
    <n v="1231"/>
    <x v="0"/>
    <n v="21"/>
    <n v="2"/>
    <s v="Medical"/>
    <n v="1"/>
    <n v="900"/>
    <x v="1"/>
    <x v="0"/>
    <x v="60"/>
    <x v="0"/>
    <x v="1"/>
    <x v="6"/>
    <x v="0"/>
    <x v="1"/>
    <x v="620"/>
    <x v="643"/>
    <x v="6"/>
    <s v="Y"/>
    <s v="No"/>
    <x v="2"/>
    <x v="0"/>
    <n v="2"/>
    <x v="0"/>
    <n v="1"/>
    <x v="1"/>
    <n v="3"/>
    <x v="1"/>
    <x v="8"/>
    <x v="0"/>
    <x v="0"/>
    <x v="2"/>
  </r>
  <r>
    <x v="16"/>
    <x v="1"/>
    <s v="Travel_Rarely"/>
    <n v="102"/>
    <x v="1"/>
    <n v="23"/>
    <n v="4"/>
    <s v="Life Sciences"/>
    <n v="1"/>
    <n v="901"/>
    <x v="2"/>
    <x v="0"/>
    <x v="23"/>
    <x v="0"/>
    <x v="3"/>
    <x v="7"/>
    <x v="0"/>
    <x v="0"/>
    <x v="621"/>
    <x v="644"/>
    <x v="2"/>
    <s v="Y"/>
    <s v="No"/>
    <x v="11"/>
    <x v="0"/>
    <n v="3"/>
    <x v="0"/>
    <n v="0"/>
    <x v="37"/>
    <n v="0"/>
    <x v="1"/>
    <x v="12"/>
    <x v="5"/>
    <x v="2"/>
    <x v="5"/>
  </r>
  <r>
    <x v="23"/>
    <x v="1"/>
    <s v="Travel_Frequently"/>
    <n v="422"/>
    <x v="1"/>
    <n v="1"/>
    <n v="3"/>
    <s v="Life Sciences"/>
    <n v="1"/>
    <n v="902"/>
    <x v="2"/>
    <x v="0"/>
    <x v="30"/>
    <x v="0"/>
    <x v="0"/>
    <x v="4"/>
    <x v="0"/>
    <x v="1"/>
    <x v="622"/>
    <x v="645"/>
    <x v="5"/>
    <s v="Y"/>
    <s v="No"/>
    <x v="4"/>
    <x v="0"/>
    <n v="2"/>
    <x v="0"/>
    <n v="1"/>
    <x v="4"/>
    <n v="2"/>
    <x v="2"/>
    <x v="8"/>
    <x v="3"/>
    <x v="3"/>
    <x v="3"/>
  </r>
  <r>
    <x v="40"/>
    <x v="1"/>
    <s v="Travel_Rarely"/>
    <n v="249"/>
    <x v="0"/>
    <n v="2"/>
    <n v="2"/>
    <s v="Marketing"/>
    <n v="1"/>
    <n v="903"/>
    <x v="1"/>
    <x v="0"/>
    <x v="58"/>
    <x v="0"/>
    <x v="0"/>
    <x v="0"/>
    <x v="0"/>
    <x v="1"/>
    <x v="623"/>
    <x v="646"/>
    <x v="4"/>
    <s v="Y"/>
    <s v="Yes"/>
    <x v="6"/>
    <x v="1"/>
    <n v="1"/>
    <x v="0"/>
    <n v="1"/>
    <x v="0"/>
    <n v="2"/>
    <x v="1"/>
    <x v="5"/>
    <x v="8"/>
    <x v="4"/>
    <x v="1"/>
  </r>
  <r>
    <x v="2"/>
    <x v="1"/>
    <s v="Non-Travel"/>
    <n v="1252"/>
    <x v="0"/>
    <n v="19"/>
    <n v="2"/>
    <s v="Medical"/>
    <n v="1"/>
    <n v="904"/>
    <x v="3"/>
    <x v="1"/>
    <x v="47"/>
    <x v="0"/>
    <x v="2"/>
    <x v="0"/>
    <x v="1"/>
    <x v="0"/>
    <x v="624"/>
    <x v="647"/>
    <x v="1"/>
    <s v="Y"/>
    <s v="Yes"/>
    <x v="4"/>
    <x v="0"/>
    <n v="4"/>
    <x v="0"/>
    <n v="0"/>
    <x v="1"/>
    <n v="2"/>
    <x v="1"/>
    <x v="1"/>
    <x v="2"/>
    <x v="0"/>
    <x v="12"/>
  </r>
  <r>
    <x v="24"/>
    <x v="1"/>
    <s v="Non-Travel"/>
    <n v="881"/>
    <x v="1"/>
    <n v="2"/>
    <n v="4"/>
    <s v="Life Sciences"/>
    <n v="1"/>
    <n v="905"/>
    <x v="3"/>
    <x v="1"/>
    <x v="33"/>
    <x v="0"/>
    <x v="3"/>
    <x v="5"/>
    <x v="3"/>
    <x v="2"/>
    <x v="625"/>
    <x v="648"/>
    <x v="1"/>
    <s v="Y"/>
    <s v="No"/>
    <x v="0"/>
    <x v="0"/>
    <n v="4"/>
    <x v="0"/>
    <n v="1"/>
    <x v="9"/>
    <n v="3"/>
    <x v="1"/>
    <x v="31"/>
    <x v="8"/>
    <x v="15"/>
    <x v="1"/>
  </r>
  <r>
    <x v="22"/>
    <x v="1"/>
    <s v="Travel_Rarely"/>
    <n v="1383"/>
    <x v="2"/>
    <n v="2"/>
    <n v="3"/>
    <s v="Life Sciences"/>
    <n v="1"/>
    <n v="909"/>
    <x v="2"/>
    <x v="0"/>
    <x v="25"/>
    <x v="1"/>
    <x v="0"/>
    <x v="8"/>
    <x v="0"/>
    <x v="1"/>
    <x v="626"/>
    <x v="649"/>
    <x v="0"/>
    <s v="Y"/>
    <s v="No"/>
    <x v="0"/>
    <x v="0"/>
    <n v="3"/>
    <x v="0"/>
    <n v="2"/>
    <x v="10"/>
    <n v="2"/>
    <x v="1"/>
    <x v="8"/>
    <x v="0"/>
    <x v="0"/>
    <x v="10"/>
  </r>
  <r>
    <x v="3"/>
    <x v="1"/>
    <s v="Travel_Rarely"/>
    <n v="1075"/>
    <x v="2"/>
    <n v="3"/>
    <n v="2"/>
    <s v="Human Resources"/>
    <n v="1"/>
    <n v="910"/>
    <x v="2"/>
    <x v="1"/>
    <x v="42"/>
    <x v="0"/>
    <x v="1"/>
    <x v="8"/>
    <x v="1"/>
    <x v="2"/>
    <x v="627"/>
    <x v="650"/>
    <x v="9"/>
    <s v="Y"/>
    <s v="Yes"/>
    <x v="0"/>
    <x v="0"/>
    <n v="3"/>
    <x v="0"/>
    <n v="1"/>
    <x v="2"/>
    <n v="4"/>
    <x v="3"/>
    <x v="9"/>
    <x v="7"/>
    <x v="0"/>
    <x v="6"/>
  </r>
  <r>
    <x v="5"/>
    <x v="0"/>
    <s v="Travel_Rarely"/>
    <n v="374"/>
    <x v="1"/>
    <n v="25"/>
    <n v="4"/>
    <s v="Life Sciences"/>
    <n v="1"/>
    <n v="911"/>
    <x v="3"/>
    <x v="1"/>
    <x v="44"/>
    <x v="0"/>
    <x v="1"/>
    <x v="2"/>
    <x v="0"/>
    <x v="0"/>
    <x v="628"/>
    <x v="651"/>
    <x v="1"/>
    <s v="Y"/>
    <s v="Yes"/>
    <x v="13"/>
    <x v="1"/>
    <n v="3"/>
    <x v="0"/>
    <n v="0"/>
    <x v="5"/>
    <n v="2"/>
    <x v="0"/>
    <x v="6"/>
    <x v="2"/>
    <x v="0"/>
    <x v="9"/>
  </r>
  <r>
    <x v="11"/>
    <x v="1"/>
    <s v="Travel_Rarely"/>
    <n v="1086"/>
    <x v="1"/>
    <n v="7"/>
    <n v="1"/>
    <s v="Medical"/>
    <n v="1"/>
    <n v="912"/>
    <x v="3"/>
    <x v="0"/>
    <x v="50"/>
    <x v="1"/>
    <x v="1"/>
    <x v="2"/>
    <x v="0"/>
    <x v="2"/>
    <x v="629"/>
    <x v="652"/>
    <x v="2"/>
    <s v="Y"/>
    <s v="No"/>
    <x v="9"/>
    <x v="0"/>
    <n v="3"/>
    <x v="0"/>
    <n v="3"/>
    <x v="0"/>
    <n v="5"/>
    <x v="1"/>
    <x v="9"/>
    <x v="7"/>
    <x v="0"/>
    <x v="6"/>
  </r>
  <r>
    <x v="20"/>
    <x v="1"/>
    <s v="Travel_Rarely"/>
    <n v="661"/>
    <x v="1"/>
    <n v="9"/>
    <n v="2"/>
    <s v="Life Sciences"/>
    <n v="1"/>
    <n v="913"/>
    <x v="0"/>
    <x v="1"/>
    <x v="1"/>
    <x v="0"/>
    <x v="1"/>
    <x v="1"/>
    <x v="3"/>
    <x v="1"/>
    <x v="594"/>
    <x v="653"/>
    <x v="1"/>
    <s v="Y"/>
    <s v="Yes"/>
    <x v="4"/>
    <x v="0"/>
    <n v="4"/>
    <x v="0"/>
    <n v="0"/>
    <x v="0"/>
    <n v="0"/>
    <x v="1"/>
    <x v="3"/>
    <x v="1"/>
    <x v="4"/>
    <x v="9"/>
  </r>
  <r>
    <x v="14"/>
    <x v="1"/>
    <s v="Travel_Rarely"/>
    <n v="821"/>
    <x v="0"/>
    <n v="5"/>
    <n v="4"/>
    <s v="Medical"/>
    <n v="1"/>
    <n v="916"/>
    <x v="3"/>
    <x v="1"/>
    <x v="33"/>
    <x v="0"/>
    <x v="0"/>
    <x v="0"/>
    <x v="0"/>
    <x v="0"/>
    <x v="630"/>
    <x v="654"/>
    <x v="1"/>
    <s v="Y"/>
    <s v="No"/>
    <x v="9"/>
    <x v="0"/>
    <n v="2"/>
    <x v="0"/>
    <n v="0"/>
    <x v="21"/>
    <n v="3"/>
    <x v="1"/>
    <x v="9"/>
    <x v="3"/>
    <x v="0"/>
    <x v="3"/>
  </r>
  <r>
    <x v="34"/>
    <x v="0"/>
    <s v="Travel_Frequently"/>
    <n v="781"/>
    <x v="1"/>
    <n v="2"/>
    <n v="1"/>
    <s v="Life Sciences"/>
    <n v="1"/>
    <n v="918"/>
    <x v="2"/>
    <x v="1"/>
    <x v="42"/>
    <x v="1"/>
    <x v="1"/>
    <x v="2"/>
    <x v="0"/>
    <x v="2"/>
    <x v="631"/>
    <x v="655"/>
    <x v="3"/>
    <s v="Y"/>
    <s v="Yes"/>
    <x v="9"/>
    <x v="0"/>
    <n v="4"/>
    <x v="0"/>
    <n v="1"/>
    <x v="8"/>
    <n v="3"/>
    <x v="2"/>
    <x v="6"/>
    <x v="2"/>
    <x v="0"/>
    <x v="2"/>
  </r>
  <r>
    <x v="23"/>
    <x v="1"/>
    <s v="Travel_Rarely"/>
    <n v="177"/>
    <x v="1"/>
    <n v="8"/>
    <n v="3"/>
    <s v="Life Sciences"/>
    <n v="1"/>
    <n v="920"/>
    <x v="3"/>
    <x v="0"/>
    <x v="46"/>
    <x v="0"/>
    <x v="0"/>
    <x v="3"/>
    <x v="1"/>
    <x v="2"/>
    <x v="632"/>
    <x v="656"/>
    <x v="5"/>
    <s v="Y"/>
    <s v="No"/>
    <x v="7"/>
    <x v="1"/>
    <n v="3"/>
    <x v="0"/>
    <n v="1"/>
    <x v="21"/>
    <n v="2"/>
    <x v="3"/>
    <x v="6"/>
    <x v="2"/>
    <x v="0"/>
    <x v="2"/>
  </r>
  <r>
    <x v="35"/>
    <x v="0"/>
    <s v="Travel_Rarely"/>
    <n v="500"/>
    <x v="0"/>
    <n v="2"/>
    <n v="3"/>
    <s v="Medical"/>
    <n v="1"/>
    <n v="922"/>
    <x v="1"/>
    <x v="0"/>
    <x v="10"/>
    <x v="1"/>
    <x v="1"/>
    <x v="6"/>
    <x v="2"/>
    <x v="0"/>
    <x v="633"/>
    <x v="657"/>
    <x v="1"/>
    <s v="Y"/>
    <s v="No"/>
    <x v="4"/>
    <x v="0"/>
    <n v="4"/>
    <x v="0"/>
    <n v="0"/>
    <x v="17"/>
    <n v="3"/>
    <x v="2"/>
    <x v="4"/>
    <x v="3"/>
    <x v="0"/>
    <x v="3"/>
  </r>
  <r>
    <x v="18"/>
    <x v="0"/>
    <s v="Travel_Rarely"/>
    <n v="1427"/>
    <x v="1"/>
    <n v="18"/>
    <n v="1"/>
    <s v="Other"/>
    <n v="1"/>
    <n v="923"/>
    <x v="2"/>
    <x v="0"/>
    <x v="63"/>
    <x v="0"/>
    <x v="1"/>
    <x v="1"/>
    <x v="0"/>
    <x v="0"/>
    <x v="7"/>
    <x v="658"/>
    <x v="1"/>
    <s v="Y"/>
    <s v="No"/>
    <x v="12"/>
    <x v="0"/>
    <n v="1"/>
    <x v="0"/>
    <n v="0"/>
    <x v="5"/>
    <n v="3"/>
    <x v="2"/>
    <x v="6"/>
    <x v="2"/>
    <x v="0"/>
    <x v="2"/>
  </r>
  <r>
    <x v="9"/>
    <x v="1"/>
    <s v="Travel_Rarely"/>
    <n v="1425"/>
    <x v="1"/>
    <n v="14"/>
    <n v="1"/>
    <s v="Life Sciences"/>
    <n v="1"/>
    <n v="924"/>
    <x v="1"/>
    <x v="1"/>
    <x v="67"/>
    <x v="0"/>
    <x v="0"/>
    <x v="4"/>
    <x v="0"/>
    <x v="1"/>
    <x v="634"/>
    <x v="659"/>
    <x v="4"/>
    <s v="Y"/>
    <s v="Yes"/>
    <x v="8"/>
    <x v="0"/>
    <n v="1"/>
    <x v="0"/>
    <n v="1"/>
    <x v="6"/>
    <n v="2"/>
    <x v="2"/>
    <x v="22"/>
    <x v="6"/>
    <x v="5"/>
    <x v="7"/>
  </r>
  <r>
    <x v="40"/>
    <x v="1"/>
    <s v="Travel_Rarely"/>
    <n v="1454"/>
    <x v="0"/>
    <n v="2"/>
    <n v="4"/>
    <s v="Life Sciences"/>
    <n v="1"/>
    <n v="925"/>
    <x v="2"/>
    <x v="0"/>
    <x v="63"/>
    <x v="1"/>
    <x v="1"/>
    <x v="6"/>
    <x v="0"/>
    <x v="0"/>
    <x v="635"/>
    <x v="660"/>
    <x v="1"/>
    <s v="Y"/>
    <s v="Yes"/>
    <x v="11"/>
    <x v="0"/>
    <n v="1"/>
    <x v="0"/>
    <n v="0"/>
    <x v="8"/>
    <n v="3"/>
    <x v="2"/>
    <x v="11"/>
    <x v="3"/>
    <x v="1"/>
    <x v="3"/>
  </r>
  <r>
    <x v="15"/>
    <x v="0"/>
    <s v="Travel_Rarely"/>
    <n v="617"/>
    <x v="1"/>
    <n v="3"/>
    <n v="1"/>
    <s v="Life Sciences"/>
    <n v="1"/>
    <n v="926"/>
    <x v="0"/>
    <x v="0"/>
    <x v="61"/>
    <x v="0"/>
    <x v="0"/>
    <x v="3"/>
    <x v="2"/>
    <x v="1"/>
    <x v="636"/>
    <x v="661"/>
    <x v="4"/>
    <s v="Y"/>
    <s v="Yes"/>
    <x v="12"/>
    <x v="0"/>
    <n v="1"/>
    <x v="0"/>
    <n v="1"/>
    <x v="21"/>
    <n v="3"/>
    <x v="3"/>
    <x v="11"/>
    <x v="3"/>
    <x v="0"/>
    <x v="3"/>
  </r>
  <r>
    <x v="0"/>
    <x v="0"/>
    <s v="Travel_Rarely"/>
    <n v="1085"/>
    <x v="1"/>
    <n v="2"/>
    <n v="4"/>
    <s v="Life Sciences"/>
    <n v="1"/>
    <n v="927"/>
    <x v="0"/>
    <x v="0"/>
    <x v="42"/>
    <x v="3"/>
    <x v="1"/>
    <x v="2"/>
    <x v="0"/>
    <x v="2"/>
    <x v="637"/>
    <x v="662"/>
    <x v="5"/>
    <s v="Y"/>
    <s v="Yes"/>
    <x v="4"/>
    <x v="0"/>
    <n v="3"/>
    <x v="0"/>
    <n v="1"/>
    <x v="1"/>
    <n v="1"/>
    <x v="2"/>
    <x v="5"/>
    <x v="1"/>
    <x v="1"/>
    <x v="2"/>
  </r>
  <r>
    <x v="14"/>
    <x v="1"/>
    <s v="Travel_Rarely"/>
    <n v="995"/>
    <x v="1"/>
    <n v="9"/>
    <n v="3"/>
    <s v="Medical"/>
    <n v="1"/>
    <n v="930"/>
    <x v="1"/>
    <x v="0"/>
    <x v="57"/>
    <x v="0"/>
    <x v="1"/>
    <x v="1"/>
    <x v="2"/>
    <x v="2"/>
    <x v="638"/>
    <x v="663"/>
    <x v="6"/>
    <s v="Y"/>
    <s v="No"/>
    <x v="11"/>
    <x v="0"/>
    <n v="2"/>
    <x v="0"/>
    <n v="1"/>
    <x v="3"/>
    <n v="2"/>
    <x v="1"/>
    <x v="4"/>
    <x v="3"/>
    <x v="3"/>
    <x v="3"/>
  </r>
  <r>
    <x v="22"/>
    <x v="0"/>
    <s v="Travel_Rarely"/>
    <n v="1122"/>
    <x v="1"/>
    <n v="6"/>
    <n v="3"/>
    <s v="Medical"/>
    <n v="1"/>
    <n v="932"/>
    <x v="2"/>
    <x v="1"/>
    <x v="49"/>
    <x v="0"/>
    <x v="1"/>
    <x v="2"/>
    <x v="3"/>
    <x v="1"/>
    <x v="639"/>
    <x v="664"/>
    <x v="8"/>
    <s v="Y"/>
    <s v="Yes"/>
    <x v="7"/>
    <x v="1"/>
    <n v="4"/>
    <x v="0"/>
    <n v="0"/>
    <x v="0"/>
    <n v="2"/>
    <x v="0"/>
    <x v="4"/>
    <x v="3"/>
    <x v="3"/>
    <x v="3"/>
  </r>
  <r>
    <x v="4"/>
    <x v="1"/>
    <s v="Travel_Rarely"/>
    <n v="618"/>
    <x v="1"/>
    <n v="4"/>
    <n v="3"/>
    <s v="Life Sciences"/>
    <n v="1"/>
    <n v="933"/>
    <x v="0"/>
    <x v="0"/>
    <x v="43"/>
    <x v="0"/>
    <x v="1"/>
    <x v="1"/>
    <x v="2"/>
    <x v="0"/>
    <x v="640"/>
    <x v="665"/>
    <x v="1"/>
    <s v="Y"/>
    <s v="No"/>
    <x v="12"/>
    <x v="0"/>
    <n v="3"/>
    <x v="0"/>
    <n v="0"/>
    <x v="5"/>
    <n v="2"/>
    <x v="1"/>
    <x v="6"/>
    <x v="10"/>
    <x v="0"/>
    <x v="2"/>
  </r>
  <r>
    <x v="13"/>
    <x v="1"/>
    <s v="Travel_Rarely"/>
    <n v="546"/>
    <x v="1"/>
    <n v="10"/>
    <n v="3"/>
    <s v="Life Sciences"/>
    <n v="1"/>
    <n v="934"/>
    <x v="0"/>
    <x v="1"/>
    <x v="21"/>
    <x v="0"/>
    <x v="1"/>
    <x v="2"/>
    <x v="1"/>
    <x v="2"/>
    <x v="641"/>
    <x v="666"/>
    <x v="1"/>
    <s v="Y"/>
    <s v="No"/>
    <x v="9"/>
    <x v="0"/>
    <n v="2"/>
    <x v="0"/>
    <n v="2"/>
    <x v="5"/>
    <n v="3"/>
    <x v="1"/>
    <x v="6"/>
    <x v="2"/>
    <x v="1"/>
    <x v="2"/>
  </r>
  <r>
    <x v="19"/>
    <x v="1"/>
    <s v="Travel_Rarely"/>
    <n v="462"/>
    <x v="0"/>
    <n v="14"/>
    <n v="2"/>
    <s v="Medical"/>
    <n v="1"/>
    <n v="936"/>
    <x v="1"/>
    <x v="0"/>
    <x v="67"/>
    <x v="1"/>
    <x v="0"/>
    <x v="0"/>
    <x v="2"/>
    <x v="0"/>
    <x v="642"/>
    <x v="667"/>
    <x v="8"/>
    <s v="Y"/>
    <s v="No"/>
    <x v="8"/>
    <x v="0"/>
    <n v="1"/>
    <x v="0"/>
    <n v="0"/>
    <x v="1"/>
    <n v="6"/>
    <x v="1"/>
    <x v="8"/>
    <x v="0"/>
    <x v="0"/>
    <x v="6"/>
  </r>
  <r>
    <x v="3"/>
    <x v="1"/>
    <s v="Travel_Rarely"/>
    <n v="1198"/>
    <x v="1"/>
    <n v="1"/>
    <n v="4"/>
    <s v="Other"/>
    <n v="1"/>
    <n v="939"/>
    <x v="1"/>
    <x v="1"/>
    <x v="54"/>
    <x v="1"/>
    <x v="1"/>
    <x v="1"/>
    <x v="3"/>
    <x v="0"/>
    <x v="643"/>
    <x v="668"/>
    <x v="9"/>
    <s v="Y"/>
    <s v="Yes"/>
    <x v="0"/>
    <x v="0"/>
    <n v="2"/>
    <x v="0"/>
    <n v="0"/>
    <x v="3"/>
    <n v="1"/>
    <x v="1"/>
    <x v="11"/>
    <x v="3"/>
    <x v="0"/>
    <x v="3"/>
  </r>
  <r>
    <x v="34"/>
    <x v="1"/>
    <s v="Travel_Rarely"/>
    <n v="1272"/>
    <x v="1"/>
    <n v="5"/>
    <n v="3"/>
    <s v="Technical Degree"/>
    <n v="1"/>
    <n v="940"/>
    <x v="1"/>
    <x v="0"/>
    <x v="31"/>
    <x v="1"/>
    <x v="2"/>
    <x v="4"/>
    <x v="1"/>
    <x v="2"/>
    <x v="644"/>
    <x v="669"/>
    <x v="7"/>
    <s v="Y"/>
    <s v="Yes"/>
    <x v="4"/>
    <x v="0"/>
    <n v="4"/>
    <x v="0"/>
    <n v="1"/>
    <x v="13"/>
    <n v="3"/>
    <x v="1"/>
    <x v="0"/>
    <x v="2"/>
    <x v="0"/>
    <x v="10"/>
  </r>
  <r>
    <x v="12"/>
    <x v="1"/>
    <s v="Travel_Rarely"/>
    <n v="154"/>
    <x v="0"/>
    <n v="7"/>
    <n v="4"/>
    <s v="Life Sciences"/>
    <n v="1"/>
    <n v="941"/>
    <x v="0"/>
    <x v="1"/>
    <x v="26"/>
    <x v="1"/>
    <x v="1"/>
    <x v="6"/>
    <x v="2"/>
    <x v="1"/>
    <x v="645"/>
    <x v="670"/>
    <x v="9"/>
    <s v="Y"/>
    <s v="No"/>
    <x v="2"/>
    <x v="0"/>
    <n v="2"/>
    <x v="0"/>
    <n v="0"/>
    <x v="10"/>
    <n v="2"/>
    <x v="3"/>
    <x v="5"/>
    <x v="1"/>
    <x v="8"/>
    <x v="3"/>
  </r>
  <r>
    <x v="10"/>
    <x v="1"/>
    <s v="Travel_Rarely"/>
    <n v="1137"/>
    <x v="1"/>
    <n v="21"/>
    <n v="1"/>
    <s v="Life Sciences"/>
    <n v="1"/>
    <n v="942"/>
    <x v="2"/>
    <x v="0"/>
    <x v="14"/>
    <x v="0"/>
    <x v="0"/>
    <x v="4"/>
    <x v="0"/>
    <x v="1"/>
    <x v="55"/>
    <x v="671"/>
    <x v="1"/>
    <s v="Y"/>
    <s v="Yes"/>
    <x v="14"/>
    <x v="1"/>
    <n v="4"/>
    <x v="0"/>
    <n v="1"/>
    <x v="1"/>
    <n v="2"/>
    <x v="0"/>
    <x v="1"/>
    <x v="8"/>
    <x v="0"/>
    <x v="1"/>
  </r>
  <r>
    <x v="1"/>
    <x v="1"/>
    <s v="Travel_Rarely"/>
    <n v="527"/>
    <x v="1"/>
    <n v="8"/>
    <n v="2"/>
    <s v="Other"/>
    <n v="1"/>
    <n v="944"/>
    <x v="3"/>
    <x v="0"/>
    <x v="14"/>
    <x v="0"/>
    <x v="2"/>
    <x v="2"/>
    <x v="1"/>
    <x v="1"/>
    <x v="646"/>
    <x v="672"/>
    <x v="5"/>
    <s v="Y"/>
    <s v="No"/>
    <x v="0"/>
    <x v="0"/>
    <n v="3"/>
    <x v="0"/>
    <n v="1"/>
    <x v="22"/>
    <n v="3"/>
    <x v="2"/>
    <x v="34"/>
    <x v="5"/>
    <x v="1"/>
    <x v="1"/>
  </r>
  <r>
    <x v="26"/>
    <x v="1"/>
    <s v="Travel_Rarely"/>
    <n v="1469"/>
    <x v="1"/>
    <n v="20"/>
    <n v="4"/>
    <s v="Medical"/>
    <n v="1"/>
    <n v="945"/>
    <x v="2"/>
    <x v="1"/>
    <x v="14"/>
    <x v="0"/>
    <x v="1"/>
    <x v="1"/>
    <x v="2"/>
    <x v="1"/>
    <x v="647"/>
    <x v="673"/>
    <x v="5"/>
    <s v="Y"/>
    <s v="No"/>
    <x v="8"/>
    <x v="0"/>
    <n v="1"/>
    <x v="0"/>
    <n v="2"/>
    <x v="10"/>
    <n v="2"/>
    <x v="2"/>
    <x v="2"/>
    <x v="2"/>
    <x v="0"/>
    <x v="2"/>
  </r>
  <r>
    <x v="12"/>
    <x v="1"/>
    <s v="Non-Travel"/>
    <n v="1188"/>
    <x v="0"/>
    <n v="20"/>
    <n v="2"/>
    <s v="Marketing"/>
    <n v="1"/>
    <n v="947"/>
    <x v="2"/>
    <x v="0"/>
    <x v="18"/>
    <x v="0"/>
    <x v="0"/>
    <x v="0"/>
    <x v="2"/>
    <x v="1"/>
    <x v="648"/>
    <x v="674"/>
    <x v="1"/>
    <s v="Y"/>
    <s v="No"/>
    <x v="4"/>
    <x v="0"/>
    <n v="4"/>
    <x v="0"/>
    <n v="1"/>
    <x v="15"/>
    <n v="2"/>
    <x v="2"/>
    <x v="7"/>
    <x v="6"/>
    <x v="0"/>
    <x v="2"/>
  </r>
  <r>
    <x v="9"/>
    <x v="1"/>
    <s v="Travel_Rarely"/>
    <n v="188"/>
    <x v="1"/>
    <n v="7"/>
    <n v="4"/>
    <s v="Other"/>
    <n v="1"/>
    <n v="949"/>
    <x v="0"/>
    <x v="1"/>
    <x v="63"/>
    <x v="0"/>
    <x v="1"/>
    <x v="1"/>
    <x v="0"/>
    <x v="0"/>
    <x v="649"/>
    <x v="675"/>
    <x v="7"/>
    <s v="Y"/>
    <s v="No"/>
    <x v="11"/>
    <x v="0"/>
    <n v="3"/>
    <x v="0"/>
    <n v="0"/>
    <x v="0"/>
    <n v="6"/>
    <x v="1"/>
    <x v="0"/>
    <x v="3"/>
    <x v="0"/>
    <x v="9"/>
  </r>
  <r>
    <x v="8"/>
    <x v="1"/>
    <s v="Travel_Rarely"/>
    <n v="1333"/>
    <x v="1"/>
    <n v="1"/>
    <n v="3"/>
    <s v="Technical Degree"/>
    <n v="1"/>
    <n v="950"/>
    <x v="2"/>
    <x v="0"/>
    <x v="15"/>
    <x v="0"/>
    <x v="2"/>
    <x v="7"/>
    <x v="3"/>
    <x v="1"/>
    <x v="650"/>
    <x v="676"/>
    <x v="1"/>
    <s v="Y"/>
    <s v="No"/>
    <x v="4"/>
    <x v="0"/>
    <n v="2"/>
    <x v="0"/>
    <n v="1"/>
    <x v="20"/>
    <n v="3"/>
    <x v="1"/>
    <x v="15"/>
    <x v="16"/>
    <x v="8"/>
    <x v="7"/>
  </r>
  <r>
    <x v="5"/>
    <x v="1"/>
    <s v="Non-Travel"/>
    <n v="1184"/>
    <x v="1"/>
    <n v="1"/>
    <n v="3"/>
    <s v="Life Sciences"/>
    <n v="1"/>
    <n v="951"/>
    <x v="1"/>
    <x v="0"/>
    <x v="49"/>
    <x v="1"/>
    <x v="1"/>
    <x v="2"/>
    <x v="1"/>
    <x v="1"/>
    <x v="651"/>
    <x v="677"/>
    <x v="2"/>
    <s v="Y"/>
    <s v="No"/>
    <x v="5"/>
    <x v="1"/>
    <n v="3"/>
    <x v="0"/>
    <n v="0"/>
    <x v="7"/>
    <n v="3"/>
    <x v="1"/>
    <x v="11"/>
    <x v="2"/>
    <x v="0"/>
    <x v="3"/>
  </r>
  <r>
    <x v="36"/>
    <x v="0"/>
    <s v="Travel_Rarely"/>
    <n v="867"/>
    <x v="0"/>
    <n v="19"/>
    <n v="2"/>
    <s v="Marketing"/>
    <n v="1"/>
    <n v="952"/>
    <x v="1"/>
    <x v="1"/>
    <x v="34"/>
    <x v="1"/>
    <x v="1"/>
    <x v="6"/>
    <x v="1"/>
    <x v="1"/>
    <x v="652"/>
    <x v="678"/>
    <x v="1"/>
    <s v="Y"/>
    <s v="Yes"/>
    <x v="11"/>
    <x v="0"/>
    <n v="3"/>
    <x v="0"/>
    <n v="3"/>
    <x v="5"/>
    <n v="2"/>
    <x v="1"/>
    <x v="6"/>
    <x v="2"/>
    <x v="0"/>
    <x v="2"/>
  </r>
  <r>
    <x v="32"/>
    <x v="1"/>
    <s v="Travel_Rarely"/>
    <n v="658"/>
    <x v="0"/>
    <n v="10"/>
    <n v="4"/>
    <s v="Marketing"/>
    <n v="1"/>
    <n v="954"/>
    <x v="3"/>
    <x v="1"/>
    <x v="7"/>
    <x v="1"/>
    <x v="2"/>
    <x v="0"/>
    <x v="1"/>
    <x v="2"/>
    <x v="653"/>
    <x v="679"/>
    <x v="7"/>
    <s v="Y"/>
    <s v="No"/>
    <x v="3"/>
    <x v="0"/>
    <n v="2"/>
    <x v="0"/>
    <n v="1"/>
    <x v="27"/>
    <n v="2"/>
    <x v="2"/>
    <x v="6"/>
    <x v="2"/>
    <x v="0"/>
    <x v="2"/>
  </r>
  <r>
    <x v="25"/>
    <x v="1"/>
    <s v="Travel_Frequently"/>
    <n v="1283"/>
    <x v="0"/>
    <n v="1"/>
    <n v="3"/>
    <s v="Medical"/>
    <n v="1"/>
    <n v="956"/>
    <x v="1"/>
    <x v="1"/>
    <x v="48"/>
    <x v="1"/>
    <x v="0"/>
    <x v="0"/>
    <x v="3"/>
    <x v="0"/>
    <x v="654"/>
    <x v="680"/>
    <x v="1"/>
    <s v="Y"/>
    <s v="No"/>
    <x v="3"/>
    <x v="0"/>
    <n v="2"/>
    <x v="0"/>
    <n v="0"/>
    <x v="2"/>
    <n v="2"/>
    <x v="1"/>
    <x v="5"/>
    <x v="1"/>
    <x v="0"/>
    <x v="1"/>
  </r>
  <r>
    <x v="0"/>
    <x v="1"/>
    <s v="Travel_Rarely"/>
    <n v="263"/>
    <x v="1"/>
    <n v="6"/>
    <n v="3"/>
    <s v="Medical"/>
    <n v="1"/>
    <n v="957"/>
    <x v="2"/>
    <x v="1"/>
    <x v="40"/>
    <x v="0"/>
    <x v="1"/>
    <x v="2"/>
    <x v="3"/>
    <x v="0"/>
    <x v="655"/>
    <x v="681"/>
    <x v="7"/>
    <s v="Y"/>
    <s v="Yes"/>
    <x v="4"/>
    <x v="0"/>
    <n v="3"/>
    <x v="0"/>
    <n v="0"/>
    <x v="26"/>
    <n v="3"/>
    <x v="1"/>
    <x v="29"/>
    <x v="9"/>
    <x v="3"/>
    <x v="8"/>
  </r>
  <r>
    <x v="9"/>
    <x v="1"/>
    <s v="Travel_Rarely"/>
    <n v="938"/>
    <x v="1"/>
    <n v="2"/>
    <n v="4"/>
    <s v="Medical"/>
    <n v="1"/>
    <n v="958"/>
    <x v="1"/>
    <x v="1"/>
    <x v="5"/>
    <x v="0"/>
    <x v="1"/>
    <x v="2"/>
    <x v="2"/>
    <x v="0"/>
    <x v="656"/>
    <x v="682"/>
    <x v="5"/>
    <s v="Y"/>
    <s v="No"/>
    <x v="7"/>
    <x v="1"/>
    <n v="3"/>
    <x v="0"/>
    <n v="0"/>
    <x v="28"/>
    <n v="6"/>
    <x v="1"/>
    <x v="19"/>
    <x v="6"/>
    <x v="2"/>
    <x v="12"/>
  </r>
  <r>
    <x v="37"/>
    <x v="0"/>
    <s v="Travel_Rarely"/>
    <n v="419"/>
    <x v="0"/>
    <n v="21"/>
    <n v="3"/>
    <s v="Other"/>
    <n v="1"/>
    <n v="959"/>
    <x v="2"/>
    <x v="1"/>
    <x v="31"/>
    <x v="1"/>
    <x v="1"/>
    <x v="6"/>
    <x v="1"/>
    <x v="0"/>
    <x v="657"/>
    <x v="683"/>
    <x v="1"/>
    <s v="Y"/>
    <s v="Yes"/>
    <x v="4"/>
    <x v="0"/>
    <n v="2"/>
    <x v="0"/>
    <n v="0"/>
    <x v="5"/>
    <n v="3"/>
    <x v="3"/>
    <x v="6"/>
    <x v="2"/>
    <x v="0"/>
    <x v="2"/>
  </r>
  <r>
    <x v="35"/>
    <x v="0"/>
    <s v="Travel_Rarely"/>
    <n v="129"/>
    <x v="1"/>
    <n v="4"/>
    <n v="3"/>
    <s v="Technical Degree"/>
    <n v="1"/>
    <n v="960"/>
    <x v="3"/>
    <x v="1"/>
    <x v="9"/>
    <x v="0"/>
    <x v="1"/>
    <x v="2"/>
    <x v="3"/>
    <x v="0"/>
    <x v="620"/>
    <x v="684"/>
    <x v="1"/>
    <s v="Y"/>
    <s v="No"/>
    <x v="12"/>
    <x v="0"/>
    <n v="2"/>
    <x v="0"/>
    <n v="0"/>
    <x v="5"/>
    <n v="2"/>
    <x v="1"/>
    <x v="6"/>
    <x v="2"/>
    <x v="0"/>
    <x v="2"/>
  </r>
  <r>
    <x v="12"/>
    <x v="1"/>
    <s v="Travel_Rarely"/>
    <n v="616"/>
    <x v="1"/>
    <n v="12"/>
    <n v="3"/>
    <s v="Medical"/>
    <n v="1"/>
    <n v="961"/>
    <x v="2"/>
    <x v="0"/>
    <x v="26"/>
    <x v="0"/>
    <x v="0"/>
    <x v="4"/>
    <x v="0"/>
    <x v="1"/>
    <x v="658"/>
    <x v="685"/>
    <x v="4"/>
    <s v="Y"/>
    <s v="Yes"/>
    <x v="0"/>
    <x v="0"/>
    <n v="3"/>
    <x v="0"/>
    <n v="2"/>
    <x v="1"/>
    <n v="2"/>
    <x v="0"/>
    <x v="7"/>
    <x v="1"/>
    <x v="6"/>
    <x v="0"/>
  </r>
  <r>
    <x v="32"/>
    <x v="1"/>
    <s v="Travel_Frequently"/>
    <n v="1469"/>
    <x v="1"/>
    <n v="9"/>
    <n v="4"/>
    <s v="Medical"/>
    <n v="1"/>
    <n v="964"/>
    <x v="2"/>
    <x v="1"/>
    <x v="58"/>
    <x v="0"/>
    <x v="1"/>
    <x v="1"/>
    <x v="1"/>
    <x v="2"/>
    <x v="659"/>
    <x v="686"/>
    <x v="0"/>
    <s v="Y"/>
    <s v="Yes"/>
    <x v="9"/>
    <x v="0"/>
    <n v="4"/>
    <x v="0"/>
    <n v="1"/>
    <x v="8"/>
    <n v="2"/>
    <x v="1"/>
    <x v="6"/>
    <x v="10"/>
    <x v="0"/>
    <x v="2"/>
  </r>
  <r>
    <x v="5"/>
    <x v="1"/>
    <s v="Travel_Rarely"/>
    <n v="498"/>
    <x v="1"/>
    <n v="3"/>
    <n v="4"/>
    <s v="Medical"/>
    <n v="1"/>
    <n v="966"/>
    <x v="1"/>
    <x v="0"/>
    <x v="12"/>
    <x v="0"/>
    <x v="0"/>
    <x v="3"/>
    <x v="3"/>
    <x v="1"/>
    <x v="660"/>
    <x v="687"/>
    <x v="1"/>
    <s v="Y"/>
    <s v="No"/>
    <x v="3"/>
    <x v="0"/>
    <n v="3"/>
    <x v="0"/>
    <n v="1"/>
    <x v="0"/>
    <n v="2"/>
    <x v="3"/>
    <x v="3"/>
    <x v="1"/>
    <x v="7"/>
    <x v="6"/>
  </r>
  <r>
    <x v="9"/>
    <x v="0"/>
    <s v="Travel_Rarely"/>
    <n v="530"/>
    <x v="0"/>
    <n v="3"/>
    <n v="1"/>
    <s v="Life Sciences"/>
    <n v="1"/>
    <n v="967"/>
    <x v="1"/>
    <x v="1"/>
    <x v="14"/>
    <x v="1"/>
    <x v="2"/>
    <x v="0"/>
    <x v="0"/>
    <x v="1"/>
    <x v="661"/>
    <x v="688"/>
    <x v="1"/>
    <s v="Y"/>
    <s v="Yes"/>
    <x v="0"/>
    <x v="0"/>
    <n v="1"/>
    <x v="0"/>
    <n v="1"/>
    <x v="28"/>
    <n v="6"/>
    <x v="1"/>
    <x v="22"/>
    <x v="1"/>
    <x v="2"/>
    <x v="1"/>
  </r>
  <r>
    <x v="3"/>
    <x v="1"/>
    <s v="Travel_Rarely"/>
    <n v="1069"/>
    <x v="1"/>
    <n v="1"/>
    <n v="3"/>
    <s v="Life Sciences"/>
    <n v="1"/>
    <n v="969"/>
    <x v="0"/>
    <x v="0"/>
    <x v="25"/>
    <x v="1"/>
    <x v="0"/>
    <x v="4"/>
    <x v="0"/>
    <x v="0"/>
    <x v="662"/>
    <x v="689"/>
    <x v="4"/>
    <s v="Y"/>
    <s v="No"/>
    <x v="9"/>
    <x v="0"/>
    <n v="1"/>
    <x v="0"/>
    <n v="0"/>
    <x v="3"/>
    <n v="3"/>
    <x v="1"/>
    <x v="8"/>
    <x v="2"/>
    <x v="1"/>
    <x v="10"/>
  </r>
  <r>
    <x v="2"/>
    <x v="0"/>
    <s v="Travel_Rarely"/>
    <n v="625"/>
    <x v="0"/>
    <n v="1"/>
    <n v="4"/>
    <s v="Life Sciences"/>
    <n v="1"/>
    <n v="970"/>
    <x v="3"/>
    <x v="1"/>
    <x v="55"/>
    <x v="1"/>
    <x v="2"/>
    <x v="0"/>
    <x v="2"/>
    <x v="1"/>
    <x v="219"/>
    <x v="690"/>
    <x v="6"/>
    <s v="Y"/>
    <s v="No"/>
    <x v="0"/>
    <x v="0"/>
    <n v="3"/>
    <x v="0"/>
    <n v="0"/>
    <x v="6"/>
    <n v="2"/>
    <x v="0"/>
    <x v="13"/>
    <x v="10"/>
    <x v="14"/>
    <x v="1"/>
  </r>
  <r>
    <x v="28"/>
    <x v="1"/>
    <s v="Non-Travel"/>
    <n v="805"/>
    <x v="1"/>
    <n v="4"/>
    <n v="2"/>
    <s v="Life Sciences"/>
    <n v="1"/>
    <n v="972"/>
    <x v="1"/>
    <x v="1"/>
    <x v="42"/>
    <x v="0"/>
    <x v="0"/>
    <x v="2"/>
    <x v="1"/>
    <x v="1"/>
    <x v="663"/>
    <x v="691"/>
    <x v="1"/>
    <s v="Y"/>
    <s v="No"/>
    <x v="3"/>
    <x v="0"/>
    <n v="2"/>
    <x v="0"/>
    <n v="0"/>
    <x v="15"/>
    <n v="5"/>
    <x v="2"/>
    <x v="7"/>
    <x v="1"/>
    <x v="0"/>
    <x v="5"/>
  </r>
  <r>
    <x v="11"/>
    <x v="1"/>
    <s v="Travel_Frequently"/>
    <n v="1404"/>
    <x v="0"/>
    <n v="20"/>
    <n v="3"/>
    <s v="Technical Degree"/>
    <n v="1"/>
    <n v="974"/>
    <x v="1"/>
    <x v="0"/>
    <x v="9"/>
    <x v="0"/>
    <x v="1"/>
    <x v="6"/>
    <x v="0"/>
    <x v="1"/>
    <x v="664"/>
    <x v="692"/>
    <x v="1"/>
    <s v="Y"/>
    <s v="No"/>
    <x v="2"/>
    <x v="0"/>
    <n v="2"/>
    <x v="0"/>
    <n v="1"/>
    <x v="8"/>
    <n v="5"/>
    <x v="1"/>
    <x v="11"/>
    <x v="10"/>
    <x v="0"/>
    <x v="3"/>
  </r>
  <r>
    <x v="10"/>
    <x v="1"/>
    <s v="Travel_Rarely"/>
    <n v="1219"/>
    <x v="0"/>
    <n v="18"/>
    <n v="3"/>
    <s v="Medical"/>
    <n v="1"/>
    <n v="975"/>
    <x v="1"/>
    <x v="0"/>
    <x v="27"/>
    <x v="0"/>
    <x v="0"/>
    <x v="0"/>
    <x v="2"/>
    <x v="1"/>
    <x v="665"/>
    <x v="693"/>
    <x v="1"/>
    <s v="Y"/>
    <s v="No"/>
    <x v="10"/>
    <x v="0"/>
    <n v="2"/>
    <x v="0"/>
    <n v="0"/>
    <x v="7"/>
    <n v="3"/>
    <x v="1"/>
    <x v="8"/>
    <x v="3"/>
    <x v="1"/>
    <x v="2"/>
  </r>
  <r>
    <x v="39"/>
    <x v="1"/>
    <s v="Travel_Rarely"/>
    <n v="1053"/>
    <x v="1"/>
    <n v="1"/>
    <n v="2"/>
    <s v="Life Sciences"/>
    <n v="1"/>
    <n v="976"/>
    <x v="2"/>
    <x v="1"/>
    <x v="49"/>
    <x v="0"/>
    <x v="3"/>
    <x v="5"/>
    <x v="0"/>
    <x v="1"/>
    <x v="666"/>
    <x v="694"/>
    <x v="7"/>
    <s v="Y"/>
    <s v="No"/>
    <x v="2"/>
    <x v="0"/>
    <n v="2"/>
    <x v="0"/>
    <n v="1"/>
    <x v="12"/>
    <n v="2"/>
    <x v="2"/>
    <x v="7"/>
    <x v="6"/>
    <x v="4"/>
    <x v="5"/>
  </r>
  <r>
    <x v="34"/>
    <x v="0"/>
    <s v="Travel_Rarely"/>
    <n v="289"/>
    <x v="1"/>
    <n v="2"/>
    <n v="3"/>
    <s v="Technical Degree"/>
    <n v="1"/>
    <n v="977"/>
    <x v="2"/>
    <x v="1"/>
    <x v="14"/>
    <x v="0"/>
    <x v="1"/>
    <x v="1"/>
    <x v="2"/>
    <x v="0"/>
    <x v="667"/>
    <x v="695"/>
    <x v="5"/>
    <s v="Y"/>
    <s v="No"/>
    <x v="13"/>
    <x v="1"/>
    <n v="1"/>
    <x v="0"/>
    <n v="0"/>
    <x v="2"/>
    <n v="4"/>
    <x v="1"/>
    <x v="6"/>
    <x v="2"/>
    <x v="0"/>
    <x v="2"/>
  </r>
  <r>
    <x v="16"/>
    <x v="1"/>
    <s v="Travel_Rarely"/>
    <n v="1376"/>
    <x v="0"/>
    <n v="2"/>
    <n v="2"/>
    <s v="Medical"/>
    <n v="1"/>
    <n v="981"/>
    <x v="1"/>
    <x v="1"/>
    <x v="18"/>
    <x v="0"/>
    <x v="3"/>
    <x v="5"/>
    <x v="2"/>
    <x v="2"/>
    <x v="668"/>
    <x v="696"/>
    <x v="2"/>
    <s v="Y"/>
    <s v="No"/>
    <x v="4"/>
    <x v="0"/>
    <n v="3"/>
    <x v="0"/>
    <n v="1"/>
    <x v="14"/>
    <n v="3"/>
    <x v="3"/>
    <x v="18"/>
    <x v="9"/>
    <x v="9"/>
    <x v="3"/>
  </r>
  <r>
    <x v="7"/>
    <x v="1"/>
    <s v="Travel_Rarely"/>
    <n v="231"/>
    <x v="0"/>
    <n v="8"/>
    <n v="2"/>
    <s v="Other"/>
    <n v="1"/>
    <n v="982"/>
    <x v="1"/>
    <x v="1"/>
    <x v="50"/>
    <x v="0"/>
    <x v="2"/>
    <x v="0"/>
    <x v="2"/>
    <x v="2"/>
    <x v="669"/>
    <x v="697"/>
    <x v="6"/>
    <s v="Y"/>
    <s v="No"/>
    <x v="0"/>
    <x v="0"/>
    <n v="1"/>
    <x v="0"/>
    <n v="1"/>
    <x v="1"/>
    <n v="2"/>
    <x v="3"/>
    <x v="3"/>
    <x v="0"/>
    <x v="4"/>
    <x v="1"/>
  </r>
  <r>
    <x v="8"/>
    <x v="1"/>
    <s v="Non-Travel"/>
    <n v="152"/>
    <x v="0"/>
    <n v="10"/>
    <n v="3"/>
    <s v="Technical Degree"/>
    <n v="1"/>
    <n v="983"/>
    <x v="1"/>
    <x v="0"/>
    <x v="65"/>
    <x v="0"/>
    <x v="0"/>
    <x v="0"/>
    <x v="0"/>
    <x v="0"/>
    <x v="670"/>
    <x v="698"/>
    <x v="1"/>
    <s v="Y"/>
    <s v="Yes"/>
    <x v="4"/>
    <x v="0"/>
    <n v="2"/>
    <x v="0"/>
    <n v="0"/>
    <x v="3"/>
    <n v="1"/>
    <x v="1"/>
    <x v="8"/>
    <x v="7"/>
    <x v="1"/>
    <x v="6"/>
  </r>
  <r>
    <x v="10"/>
    <x v="1"/>
    <s v="Travel_Rarely"/>
    <n v="882"/>
    <x v="0"/>
    <n v="3"/>
    <n v="4"/>
    <s v="Life Sciences"/>
    <n v="1"/>
    <n v="984"/>
    <x v="2"/>
    <x v="1"/>
    <x v="2"/>
    <x v="0"/>
    <x v="2"/>
    <x v="0"/>
    <x v="0"/>
    <x v="2"/>
    <x v="671"/>
    <x v="699"/>
    <x v="2"/>
    <s v="Y"/>
    <s v="No"/>
    <x v="4"/>
    <x v="0"/>
    <n v="2"/>
    <x v="0"/>
    <n v="1"/>
    <x v="4"/>
    <n v="2"/>
    <x v="1"/>
    <x v="1"/>
    <x v="5"/>
    <x v="0"/>
    <x v="5"/>
  </r>
  <r>
    <x v="22"/>
    <x v="1"/>
    <s v="Travel_Rarely"/>
    <n v="903"/>
    <x v="0"/>
    <n v="2"/>
    <n v="5"/>
    <s v="Life Sciences"/>
    <n v="1"/>
    <n v="985"/>
    <x v="3"/>
    <x v="1"/>
    <x v="26"/>
    <x v="2"/>
    <x v="2"/>
    <x v="0"/>
    <x v="2"/>
    <x v="0"/>
    <x v="672"/>
    <x v="700"/>
    <x v="4"/>
    <s v="Y"/>
    <s v="No"/>
    <x v="11"/>
    <x v="0"/>
    <n v="4"/>
    <x v="0"/>
    <n v="0"/>
    <x v="15"/>
    <n v="3"/>
    <x v="1"/>
    <x v="3"/>
    <x v="1"/>
    <x v="0"/>
    <x v="1"/>
  </r>
  <r>
    <x v="32"/>
    <x v="0"/>
    <s v="Non-Travel"/>
    <n v="1479"/>
    <x v="0"/>
    <n v="24"/>
    <n v="3"/>
    <s v="Life Sciences"/>
    <n v="1"/>
    <n v="986"/>
    <x v="0"/>
    <x v="0"/>
    <x v="54"/>
    <x v="2"/>
    <x v="3"/>
    <x v="0"/>
    <x v="1"/>
    <x v="0"/>
    <x v="673"/>
    <x v="701"/>
    <x v="5"/>
    <s v="Y"/>
    <s v="Yes"/>
    <x v="10"/>
    <x v="0"/>
    <n v="4"/>
    <x v="0"/>
    <n v="0"/>
    <x v="14"/>
    <n v="2"/>
    <x v="2"/>
    <x v="6"/>
    <x v="2"/>
    <x v="0"/>
    <x v="2"/>
  </r>
  <r>
    <x v="40"/>
    <x v="1"/>
    <s v="Travel_Frequently"/>
    <n v="1379"/>
    <x v="1"/>
    <n v="16"/>
    <n v="4"/>
    <s v="Medical"/>
    <n v="1"/>
    <n v="987"/>
    <x v="1"/>
    <x v="1"/>
    <x v="51"/>
    <x v="2"/>
    <x v="0"/>
    <x v="3"/>
    <x v="2"/>
    <x v="2"/>
    <x v="674"/>
    <x v="702"/>
    <x v="1"/>
    <s v="Y"/>
    <s v="Yes"/>
    <x v="12"/>
    <x v="0"/>
    <n v="3"/>
    <x v="0"/>
    <n v="0"/>
    <x v="26"/>
    <n v="3"/>
    <x v="3"/>
    <x v="27"/>
    <x v="15"/>
    <x v="3"/>
    <x v="1"/>
  </r>
  <r>
    <x v="9"/>
    <x v="1"/>
    <s v="Non-Travel"/>
    <n v="1229"/>
    <x v="0"/>
    <n v="8"/>
    <n v="4"/>
    <s v="Technical Degree"/>
    <n v="1"/>
    <n v="990"/>
    <x v="3"/>
    <x v="1"/>
    <x v="9"/>
    <x v="0"/>
    <x v="0"/>
    <x v="0"/>
    <x v="0"/>
    <x v="2"/>
    <x v="675"/>
    <x v="703"/>
    <x v="5"/>
    <s v="Y"/>
    <s v="No"/>
    <x v="4"/>
    <x v="0"/>
    <n v="4"/>
    <x v="0"/>
    <n v="2"/>
    <x v="4"/>
    <n v="3"/>
    <x v="1"/>
    <x v="5"/>
    <x v="1"/>
    <x v="0"/>
    <x v="1"/>
  </r>
  <r>
    <x v="12"/>
    <x v="0"/>
    <s v="Non-Travel"/>
    <n v="335"/>
    <x v="1"/>
    <n v="9"/>
    <n v="2"/>
    <s v="Medical"/>
    <n v="1"/>
    <n v="991"/>
    <x v="1"/>
    <x v="1"/>
    <x v="55"/>
    <x v="1"/>
    <x v="1"/>
    <x v="1"/>
    <x v="3"/>
    <x v="0"/>
    <x v="676"/>
    <x v="704"/>
    <x v="4"/>
    <s v="Y"/>
    <s v="Yes"/>
    <x v="6"/>
    <x v="1"/>
    <n v="1"/>
    <x v="0"/>
    <n v="0"/>
    <x v="21"/>
    <n v="0"/>
    <x v="1"/>
    <x v="11"/>
    <x v="3"/>
    <x v="1"/>
    <x v="3"/>
  </r>
  <r>
    <x v="3"/>
    <x v="1"/>
    <s v="Non-Travel"/>
    <n v="722"/>
    <x v="0"/>
    <n v="17"/>
    <n v="3"/>
    <s v="Life Sciences"/>
    <n v="1"/>
    <n v="992"/>
    <x v="2"/>
    <x v="1"/>
    <x v="70"/>
    <x v="0"/>
    <x v="3"/>
    <x v="5"/>
    <x v="2"/>
    <x v="0"/>
    <x v="677"/>
    <x v="705"/>
    <x v="1"/>
    <s v="Y"/>
    <s v="No"/>
    <x v="0"/>
    <x v="0"/>
    <n v="4"/>
    <x v="0"/>
    <n v="0"/>
    <x v="1"/>
    <n v="2"/>
    <x v="1"/>
    <x v="1"/>
    <x v="6"/>
    <x v="7"/>
    <x v="2"/>
  </r>
  <r>
    <x v="11"/>
    <x v="0"/>
    <s v="Travel_Rarely"/>
    <n v="906"/>
    <x v="1"/>
    <n v="10"/>
    <n v="3"/>
    <s v="Life Sciences"/>
    <n v="1"/>
    <n v="994"/>
    <x v="2"/>
    <x v="0"/>
    <x v="2"/>
    <x v="1"/>
    <x v="1"/>
    <x v="1"/>
    <x v="3"/>
    <x v="0"/>
    <x v="639"/>
    <x v="706"/>
    <x v="2"/>
    <s v="Y"/>
    <s v="Yes"/>
    <x v="5"/>
    <x v="1"/>
    <n v="3"/>
    <x v="0"/>
    <n v="0"/>
    <x v="8"/>
    <n v="5"/>
    <x v="1"/>
    <x v="2"/>
    <x v="2"/>
    <x v="0"/>
    <x v="2"/>
  </r>
  <r>
    <x v="3"/>
    <x v="1"/>
    <s v="Travel_Rarely"/>
    <n v="461"/>
    <x v="1"/>
    <n v="13"/>
    <n v="1"/>
    <s v="Life Sciences"/>
    <n v="1"/>
    <n v="995"/>
    <x v="0"/>
    <x v="0"/>
    <x v="20"/>
    <x v="0"/>
    <x v="1"/>
    <x v="1"/>
    <x v="0"/>
    <x v="0"/>
    <x v="138"/>
    <x v="707"/>
    <x v="9"/>
    <s v="Y"/>
    <s v="No"/>
    <x v="11"/>
    <x v="0"/>
    <n v="1"/>
    <x v="0"/>
    <n v="0"/>
    <x v="7"/>
    <n v="4"/>
    <x v="1"/>
    <x v="11"/>
    <x v="3"/>
    <x v="0"/>
    <x v="3"/>
  </r>
  <r>
    <x v="28"/>
    <x v="1"/>
    <s v="Travel_Rarely"/>
    <n v="974"/>
    <x v="1"/>
    <n v="1"/>
    <n v="4"/>
    <s v="Medical"/>
    <n v="1"/>
    <n v="996"/>
    <x v="2"/>
    <x v="0"/>
    <x v="59"/>
    <x v="0"/>
    <x v="1"/>
    <x v="2"/>
    <x v="0"/>
    <x v="2"/>
    <x v="678"/>
    <x v="708"/>
    <x v="9"/>
    <s v="Y"/>
    <s v="No"/>
    <x v="9"/>
    <x v="0"/>
    <n v="4"/>
    <x v="0"/>
    <n v="2"/>
    <x v="0"/>
    <n v="2"/>
    <x v="1"/>
    <x v="8"/>
    <x v="7"/>
    <x v="0"/>
    <x v="3"/>
  </r>
  <r>
    <x v="24"/>
    <x v="1"/>
    <s v="Travel_Rarely"/>
    <n v="1126"/>
    <x v="1"/>
    <n v="1"/>
    <n v="2"/>
    <s v="Medical"/>
    <n v="1"/>
    <n v="997"/>
    <x v="2"/>
    <x v="1"/>
    <x v="45"/>
    <x v="0"/>
    <x v="3"/>
    <x v="7"/>
    <x v="0"/>
    <x v="2"/>
    <x v="679"/>
    <x v="709"/>
    <x v="3"/>
    <s v="Y"/>
    <s v="No"/>
    <x v="6"/>
    <x v="1"/>
    <n v="3"/>
    <x v="0"/>
    <n v="1"/>
    <x v="36"/>
    <n v="1"/>
    <x v="2"/>
    <x v="8"/>
    <x v="0"/>
    <x v="1"/>
    <x v="6"/>
  </r>
  <r>
    <x v="3"/>
    <x v="1"/>
    <s v="Travel_Frequently"/>
    <n v="827"/>
    <x v="1"/>
    <n v="1"/>
    <n v="4"/>
    <s v="Other"/>
    <n v="1"/>
    <n v="998"/>
    <x v="1"/>
    <x v="0"/>
    <x v="9"/>
    <x v="2"/>
    <x v="0"/>
    <x v="4"/>
    <x v="1"/>
    <x v="1"/>
    <x v="680"/>
    <x v="710"/>
    <x v="1"/>
    <s v="Y"/>
    <s v="Yes"/>
    <x v="4"/>
    <x v="0"/>
    <n v="1"/>
    <x v="0"/>
    <n v="1"/>
    <x v="3"/>
    <n v="2"/>
    <x v="1"/>
    <x v="0"/>
    <x v="4"/>
    <x v="1"/>
    <x v="3"/>
  </r>
  <r>
    <x v="0"/>
    <x v="1"/>
    <s v="Travel_Frequently"/>
    <n v="840"/>
    <x v="1"/>
    <n v="9"/>
    <n v="3"/>
    <s v="Medical"/>
    <n v="1"/>
    <n v="999"/>
    <x v="3"/>
    <x v="1"/>
    <x v="51"/>
    <x v="0"/>
    <x v="4"/>
    <x v="7"/>
    <x v="2"/>
    <x v="2"/>
    <x v="681"/>
    <x v="711"/>
    <x v="7"/>
    <s v="Y"/>
    <s v="No"/>
    <x v="8"/>
    <x v="0"/>
    <n v="2"/>
    <x v="0"/>
    <n v="1"/>
    <x v="24"/>
    <n v="2"/>
    <x v="3"/>
    <x v="29"/>
    <x v="13"/>
    <x v="0"/>
    <x v="7"/>
  </r>
  <r>
    <x v="4"/>
    <x v="1"/>
    <s v="Travel_Rarely"/>
    <n v="1134"/>
    <x v="1"/>
    <n v="16"/>
    <n v="4"/>
    <s v="Technical Degree"/>
    <n v="1"/>
    <n v="1001"/>
    <x v="1"/>
    <x v="0"/>
    <x v="31"/>
    <x v="0"/>
    <x v="1"/>
    <x v="2"/>
    <x v="1"/>
    <x v="1"/>
    <x v="682"/>
    <x v="712"/>
    <x v="3"/>
    <s v="Y"/>
    <s v="No"/>
    <x v="9"/>
    <x v="0"/>
    <n v="2"/>
    <x v="0"/>
    <n v="1"/>
    <x v="21"/>
    <n v="2"/>
    <x v="1"/>
    <x v="4"/>
    <x v="3"/>
    <x v="3"/>
    <x v="3"/>
  </r>
  <r>
    <x v="28"/>
    <x v="1"/>
    <s v="Non-Travel"/>
    <n v="248"/>
    <x v="1"/>
    <n v="23"/>
    <n v="2"/>
    <s v="Life Sciences"/>
    <n v="1"/>
    <n v="1002"/>
    <x v="2"/>
    <x v="1"/>
    <x v="25"/>
    <x v="0"/>
    <x v="0"/>
    <x v="2"/>
    <x v="3"/>
    <x v="1"/>
    <x v="683"/>
    <x v="713"/>
    <x v="1"/>
    <s v="Y"/>
    <s v="Yes"/>
    <x v="2"/>
    <x v="0"/>
    <n v="3"/>
    <x v="0"/>
    <n v="1"/>
    <x v="15"/>
    <n v="2"/>
    <x v="1"/>
    <x v="7"/>
    <x v="6"/>
    <x v="0"/>
    <x v="5"/>
  </r>
  <r>
    <x v="40"/>
    <x v="1"/>
    <s v="Travel_Rarely"/>
    <n v="955"/>
    <x v="0"/>
    <n v="4"/>
    <n v="2"/>
    <s v="Life Sciences"/>
    <n v="1"/>
    <n v="1003"/>
    <x v="2"/>
    <x v="0"/>
    <x v="21"/>
    <x v="0"/>
    <x v="0"/>
    <x v="0"/>
    <x v="0"/>
    <x v="0"/>
    <x v="684"/>
    <x v="714"/>
    <x v="1"/>
    <s v="Y"/>
    <s v="Yes"/>
    <x v="8"/>
    <x v="0"/>
    <n v="3"/>
    <x v="0"/>
    <n v="0"/>
    <x v="15"/>
    <n v="0"/>
    <x v="1"/>
    <x v="7"/>
    <x v="2"/>
    <x v="0"/>
    <x v="1"/>
  </r>
  <r>
    <x v="7"/>
    <x v="0"/>
    <s v="Travel_Rarely"/>
    <n v="138"/>
    <x v="1"/>
    <n v="22"/>
    <n v="3"/>
    <s v="Life Sciences"/>
    <n v="1"/>
    <n v="1004"/>
    <x v="3"/>
    <x v="0"/>
    <x v="24"/>
    <x v="0"/>
    <x v="1"/>
    <x v="1"/>
    <x v="2"/>
    <x v="1"/>
    <x v="685"/>
    <x v="715"/>
    <x v="5"/>
    <s v="Y"/>
    <s v="Yes"/>
    <x v="0"/>
    <x v="0"/>
    <n v="2"/>
    <x v="0"/>
    <n v="0"/>
    <x v="2"/>
    <n v="2"/>
    <x v="1"/>
    <x v="8"/>
    <x v="3"/>
    <x v="0"/>
    <x v="9"/>
  </r>
  <r>
    <x v="24"/>
    <x v="1"/>
    <s v="Travel_Rarely"/>
    <n v="939"/>
    <x v="1"/>
    <n v="24"/>
    <n v="3"/>
    <s v="Life Sciences"/>
    <n v="1"/>
    <n v="1005"/>
    <x v="2"/>
    <x v="1"/>
    <x v="41"/>
    <x v="0"/>
    <x v="3"/>
    <x v="3"/>
    <x v="2"/>
    <x v="1"/>
    <x v="686"/>
    <x v="716"/>
    <x v="9"/>
    <s v="Y"/>
    <s v="Yes"/>
    <x v="11"/>
    <x v="0"/>
    <n v="4"/>
    <x v="0"/>
    <n v="1"/>
    <x v="14"/>
    <n v="2"/>
    <x v="1"/>
    <x v="12"/>
    <x v="14"/>
    <x v="1"/>
    <x v="0"/>
  </r>
  <r>
    <x v="8"/>
    <x v="1"/>
    <s v="Travel_Frequently"/>
    <n v="1391"/>
    <x v="1"/>
    <n v="10"/>
    <n v="1"/>
    <s v="Medical"/>
    <n v="1"/>
    <n v="1006"/>
    <x v="1"/>
    <x v="1"/>
    <x v="45"/>
    <x v="0"/>
    <x v="1"/>
    <x v="1"/>
    <x v="2"/>
    <x v="1"/>
    <x v="687"/>
    <x v="717"/>
    <x v="4"/>
    <s v="Y"/>
    <s v="No"/>
    <x v="8"/>
    <x v="0"/>
    <n v="2"/>
    <x v="0"/>
    <n v="1"/>
    <x v="8"/>
    <n v="0"/>
    <x v="2"/>
    <x v="4"/>
    <x v="10"/>
    <x v="0"/>
    <x v="3"/>
  </r>
  <r>
    <x v="21"/>
    <x v="1"/>
    <s v="Travel_Rarely"/>
    <n v="566"/>
    <x v="1"/>
    <n v="7"/>
    <n v="2"/>
    <s v="Medical"/>
    <n v="1"/>
    <n v="1007"/>
    <x v="2"/>
    <x v="1"/>
    <x v="29"/>
    <x v="0"/>
    <x v="2"/>
    <x v="3"/>
    <x v="2"/>
    <x v="2"/>
    <x v="688"/>
    <x v="718"/>
    <x v="2"/>
    <s v="Y"/>
    <s v="No"/>
    <x v="4"/>
    <x v="0"/>
    <n v="2"/>
    <x v="0"/>
    <n v="1"/>
    <x v="10"/>
    <n v="3"/>
    <x v="1"/>
    <x v="3"/>
    <x v="1"/>
    <x v="0"/>
    <x v="1"/>
  </r>
  <r>
    <x v="17"/>
    <x v="1"/>
    <s v="Travel_Rarely"/>
    <n v="1206"/>
    <x v="1"/>
    <n v="17"/>
    <n v="1"/>
    <s v="Medical"/>
    <n v="1"/>
    <n v="1009"/>
    <x v="2"/>
    <x v="0"/>
    <x v="26"/>
    <x v="1"/>
    <x v="0"/>
    <x v="3"/>
    <x v="2"/>
    <x v="2"/>
    <x v="689"/>
    <x v="719"/>
    <x v="1"/>
    <s v="Y"/>
    <s v="No"/>
    <x v="2"/>
    <x v="0"/>
    <n v="2"/>
    <x v="0"/>
    <n v="2"/>
    <x v="7"/>
    <n v="6"/>
    <x v="1"/>
    <x v="9"/>
    <x v="3"/>
    <x v="2"/>
    <x v="3"/>
  </r>
  <r>
    <x v="10"/>
    <x v="0"/>
    <s v="Travel_Rarely"/>
    <n v="622"/>
    <x v="1"/>
    <n v="14"/>
    <n v="4"/>
    <s v="Other"/>
    <n v="1"/>
    <n v="1010"/>
    <x v="1"/>
    <x v="1"/>
    <x v="56"/>
    <x v="1"/>
    <x v="1"/>
    <x v="2"/>
    <x v="1"/>
    <x v="2"/>
    <x v="690"/>
    <x v="720"/>
    <x v="1"/>
    <s v="Y"/>
    <s v="Yes"/>
    <x v="13"/>
    <x v="1"/>
    <n v="4"/>
    <x v="0"/>
    <n v="1"/>
    <x v="7"/>
    <n v="2"/>
    <x v="0"/>
    <x v="9"/>
    <x v="3"/>
    <x v="0"/>
    <x v="3"/>
  </r>
  <r>
    <x v="12"/>
    <x v="1"/>
    <s v="Travel_Frequently"/>
    <n v="853"/>
    <x v="1"/>
    <n v="1"/>
    <n v="1"/>
    <s v="Life Sciences"/>
    <n v="1"/>
    <n v="1011"/>
    <x v="1"/>
    <x v="0"/>
    <x v="16"/>
    <x v="0"/>
    <x v="0"/>
    <x v="3"/>
    <x v="3"/>
    <x v="1"/>
    <x v="691"/>
    <x v="721"/>
    <x v="1"/>
    <s v="Y"/>
    <s v="No"/>
    <x v="3"/>
    <x v="0"/>
    <n v="3"/>
    <x v="0"/>
    <n v="1"/>
    <x v="21"/>
    <n v="1"/>
    <x v="1"/>
    <x v="9"/>
    <x v="7"/>
    <x v="0"/>
    <x v="6"/>
  </r>
  <r>
    <x v="41"/>
    <x v="1"/>
    <s v="Non-Travel"/>
    <n v="287"/>
    <x v="1"/>
    <n v="5"/>
    <n v="2"/>
    <s v="Life Sciences"/>
    <n v="1"/>
    <n v="1012"/>
    <x v="0"/>
    <x v="1"/>
    <x v="32"/>
    <x v="0"/>
    <x v="1"/>
    <x v="1"/>
    <x v="0"/>
    <x v="0"/>
    <x v="692"/>
    <x v="722"/>
    <x v="1"/>
    <s v="Y"/>
    <s v="No"/>
    <x v="2"/>
    <x v="0"/>
    <n v="4"/>
    <x v="0"/>
    <n v="0"/>
    <x v="11"/>
    <n v="2"/>
    <x v="1"/>
    <x v="2"/>
    <x v="2"/>
    <x v="0"/>
    <x v="2"/>
  </r>
  <r>
    <x v="33"/>
    <x v="1"/>
    <s v="Travel_Rarely"/>
    <n v="1441"/>
    <x v="1"/>
    <n v="17"/>
    <n v="3"/>
    <s v="Technical Degree"/>
    <n v="1"/>
    <n v="1013"/>
    <x v="1"/>
    <x v="0"/>
    <x v="3"/>
    <x v="0"/>
    <x v="2"/>
    <x v="3"/>
    <x v="2"/>
    <x v="1"/>
    <x v="693"/>
    <x v="723"/>
    <x v="0"/>
    <s v="Y"/>
    <s v="No"/>
    <x v="0"/>
    <x v="0"/>
    <n v="3"/>
    <x v="0"/>
    <n v="1"/>
    <x v="14"/>
    <n v="2"/>
    <x v="1"/>
    <x v="1"/>
    <x v="1"/>
    <x v="0"/>
    <x v="5"/>
  </r>
  <r>
    <x v="10"/>
    <x v="1"/>
    <s v="Travel_Rarely"/>
    <n v="583"/>
    <x v="1"/>
    <n v="25"/>
    <n v="4"/>
    <s v="Medical"/>
    <n v="1"/>
    <n v="1014"/>
    <x v="1"/>
    <x v="0"/>
    <x v="42"/>
    <x v="0"/>
    <x v="2"/>
    <x v="4"/>
    <x v="2"/>
    <x v="2"/>
    <x v="694"/>
    <x v="724"/>
    <x v="1"/>
    <s v="Y"/>
    <s v="Yes"/>
    <x v="0"/>
    <x v="0"/>
    <n v="3"/>
    <x v="0"/>
    <n v="1"/>
    <x v="28"/>
    <n v="3"/>
    <x v="2"/>
    <x v="22"/>
    <x v="15"/>
    <x v="13"/>
    <x v="9"/>
  </r>
  <r>
    <x v="7"/>
    <x v="1"/>
    <s v="Travel_Rarely"/>
    <n v="153"/>
    <x v="1"/>
    <n v="8"/>
    <n v="2"/>
    <s v="Life Sciences"/>
    <n v="1"/>
    <n v="1015"/>
    <x v="0"/>
    <x v="0"/>
    <x v="32"/>
    <x v="2"/>
    <x v="2"/>
    <x v="7"/>
    <x v="3"/>
    <x v="1"/>
    <x v="695"/>
    <x v="725"/>
    <x v="4"/>
    <s v="Y"/>
    <s v="Yes"/>
    <x v="3"/>
    <x v="0"/>
    <n v="3"/>
    <x v="0"/>
    <n v="3"/>
    <x v="15"/>
    <n v="4"/>
    <x v="2"/>
    <x v="3"/>
    <x v="1"/>
    <x v="1"/>
    <x v="1"/>
  </r>
  <r>
    <x v="35"/>
    <x v="0"/>
    <s v="Travel_Rarely"/>
    <n v="1097"/>
    <x v="1"/>
    <n v="11"/>
    <n v="3"/>
    <s v="Medical"/>
    <n v="1"/>
    <n v="1016"/>
    <x v="2"/>
    <x v="0"/>
    <x v="33"/>
    <x v="1"/>
    <x v="1"/>
    <x v="1"/>
    <x v="3"/>
    <x v="0"/>
    <x v="696"/>
    <x v="726"/>
    <x v="1"/>
    <s v="Y"/>
    <s v="Yes"/>
    <x v="2"/>
    <x v="0"/>
    <n v="1"/>
    <x v="0"/>
    <n v="0"/>
    <x v="5"/>
    <n v="2"/>
    <x v="1"/>
    <x v="6"/>
    <x v="2"/>
    <x v="0"/>
    <x v="2"/>
  </r>
  <r>
    <x v="7"/>
    <x v="0"/>
    <s v="Travel_Frequently"/>
    <n v="109"/>
    <x v="1"/>
    <n v="5"/>
    <n v="3"/>
    <s v="Medical"/>
    <n v="1"/>
    <n v="1017"/>
    <x v="0"/>
    <x v="0"/>
    <x v="53"/>
    <x v="0"/>
    <x v="1"/>
    <x v="2"/>
    <x v="1"/>
    <x v="0"/>
    <x v="697"/>
    <x v="727"/>
    <x v="4"/>
    <s v="Y"/>
    <s v="No"/>
    <x v="8"/>
    <x v="0"/>
    <n v="1"/>
    <x v="0"/>
    <n v="0"/>
    <x v="21"/>
    <n v="3"/>
    <x v="1"/>
    <x v="11"/>
    <x v="3"/>
    <x v="1"/>
    <x v="3"/>
  </r>
  <r>
    <x v="25"/>
    <x v="1"/>
    <s v="Travel_Rarely"/>
    <n v="1066"/>
    <x v="1"/>
    <n v="2"/>
    <n v="2"/>
    <s v="Medical"/>
    <n v="1"/>
    <n v="1018"/>
    <x v="2"/>
    <x v="1"/>
    <x v="47"/>
    <x v="2"/>
    <x v="0"/>
    <x v="3"/>
    <x v="0"/>
    <x v="1"/>
    <x v="698"/>
    <x v="728"/>
    <x v="1"/>
    <s v="Y"/>
    <s v="No"/>
    <x v="3"/>
    <x v="0"/>
    <n v="2"/>
    <x v="0"/>
    <n v="0"/>
    <x v="0"/>
    <n v="2"/>
    <x v="1"/>
    <x v="3"/>
    <x v="1"/>
    <x v="1"/>
    <x v="6"/>
  </r>
  <r>
    <x v="15"/>
    <x v="1"/>
    <s v="Travel_Rarely"/>
    <n v="217"/>
    <x v="1"/>
    <n v="8"/>
    <n v="1"/>
    <s v="Life Sciences"/>
    <n v="1"/>
    <n v="1019"/>
    <x v="0"/>
    <x v="1"/>
    <x v="0"/>
    <x v="3"/>
    <x v="1"/>
    <x v="2"/>
    <x v="3"/>
    <x v="1"/>
    <x v="163"/>
    <x v="584"/>
    <x v="1"/>
    <s v="Y"/>
    <s v="No"/>
    <x v="2"/>
    <x v="0"/>
    <n v="1"/>
    <x v="0"/>
    <n v="1"/>
    <x v="21"/>
    <n v="3"/>
    <x v="2"/>
    <x v="9"/>
    <x v="7"/>
    <x v="1"/>
    <x v="9"/>
  </r>
  <r>
    <x v="26"/>
    <x v="1"/>
    <s v="Travel_Rarely"/>
    <n v="277"/>
    <x v="1"/>
    <n v="6"/>
    <n v="3"/>
    <s v="Life Sciences"/>
    <n v="1"/>
    <n v="1022"/>
    <x v="3"/>
    <x v="1"/>
    <x v="28"/>
    <x v="1"/>
    <x v="0"/>
    <x v="4"/>
    <x v="2"/>
    <x v="0"/>
    <x v="699"/>
    <x v="729"/>
    <x v="7"/>
    <s v="Y"/>
    <s v="No"/>
    <x v="4"/>
    <x v="0"/>
    <n v="4"/>
    <x v="0"/>
    <n v="0"/>
    <x v="16"/>
    <n v="0"/>
    <x v="1"/>
    <x v="4"/>
    <x v="3"/>
    <x v="3"/>
    <x v="3"/>
  </r>
  <r>
    <x v="26"/>
    <x v="1"/>
    <s v="Travel_Rarely"/>
    <n v="1355"/>
    <x v="1"/>
    <n v="4"/>
    <n v="4"/>
    <s v="Life Sciences"/>
    <n v="1"/>
    <n v="1024"/>
    <x v="1"/>
    <x v="1"/>
    <x v="17"/>
    <x v="1"/>
    <x v="2"/>
    <x v="4"/>
    <x v="2"/>
    <x v="0"/>
    <x v="700"/>
    <x v="730"/>
    <x v="8"/>
    <s v="Y"/>
    <s v="No"/>
    <x v="9"/>
    <x v="0"/>
    <n v="2"/>
    <x v="0"/>
    <n v="0"/>
    <x v="39"/>
    <n v="3"/>
    <x v="1"/>
    <x v="15"/>
    <x v="14"/>
    <x v="5"/>
    <x v="5"/>
  </r>
  <r>
    <x v="0"/>
    <x v="1"/>
    <s v="Travel_Rarely"/>
    <n v="549"/>
    <x v="1"/>
    <n v="7"/>
    <n v="2"/>
    <s v="Medical"/>
    <n v="1"/>
    <n v="1025"/>
    <x v="2"/>
    <x v="0"/>
    <x v="25"/>
    <x v="0"/>
    <x v="0"/>
    <x v="3"/>
    <x v="2"/>
    <x v="0"/>
    <x v="701"/>
    <x v="731"/>
    <x v="2"/>
    <s v="Y"/>
    <s v="No"/>
    <x v="9"/>
    <x v="0"/>
    <n v="2"/>
    <x v="0"/>
    <n v="0"/>
    <x v="0"/>
    <n v="6"/>
    <x v="1"/>
    <x v="4"/>
    <x v="3"/>
    <x v="3"/>
    <x v="9"/>
  </r>
  <r>
    <x v="22"/>
    <x v="1"/>
    <s v="Travel_Rarely"/>
    <n v="466"/>
    <x v="1"/>
    <n v="1"/>
    <n v="1"/>
    <s v="Life Sciences"/>
    <n v="1"/>
    <n v="1026"/>
    <x v="2"/>
    <x v="0"/>
    <x v="63"/>
    <x v="1"/>
    <x v="3"/>
    <x v="3"/>
    <x v="0"/>
    <x v="1"/>
    <x v="702"/>
    <x v="732"/>
    <x v="1"/>
    <s v="Y"/>
    <s v="No"/>
    <x v="10"/>
    <x v="0"/>
    <n v="3"/>
    <x v="0"/>
    <n v="1"/>
    <x v="24"/>
    <n v="3"/>
    <x v="1"/>
    <x v="17"/>
    <x v="8"/>
    <x v="14"/>
    <x v="5"/>
  </r>
  <r>
    <x v="4"/>
    <x v="1"/>
    <s v="Travel_Rarely"/>
    <n v="1055"/>
    <x v="1"/>
    <n v="2"/>
    <n v="4"/>
    <s v="Life Sciences"/>
    <n v="1"/>
    <n v="1027"/>
    <x v="3"/>
    <x v="0"/>
    <x v="35"/>
    <x v="0"/>
    <x v="0"/>
    <x v="3"/>
    <x v="0"/>
    <x v="1"/>
    <x v="703"/>
    <x v="733"/>
    <x v="4"/>
    <s v="Y"/>
    <s v="No"/>
    <x v="11"/>
    <x v="0"/>
    <n v="2"/>
    <x v="0"/>
    <n v="1"/>
    <x v="21"/>
    <n v="2"/>
    <x v="1"/>
    <x v="11"/>
    <x v="3"/>
    <x v="3"/>
    <x v="3"/>
  </r>
  <r>
    <x v="10"/>
    <x v="1"/>
    <s v="Travel_Rarely"/>
    <n v="802"/>
    <x v="1"/>
    <n v="10"/>
    <n v="3"/>
    <s v="Other"/>
    <n v="1"/>
    <n v="1028"/>
    <x v="0"/>
    <x v="1"/>
    <x v="18"/>
    <x v="0"/>
    <x v="1"/>
    <x v="2"/>
    <x v="0"/>
    <x v="2"/>
    <x v="704"/>
    <x v="734"/>
    <x v="1"/>
    <s v="Y"/>
    <s v="No"/>
    <x v="5"/>
    <x v="1"/>
    <n v="1"/>
    <x v="0"/>
    <n v="1"/>
    <x v="8"/>
    <n v="4"/>
    <x v="2"/>
    <x v="11"/>
    <x v="3"/>
    <x v="1"/>
    <x v="3"/>
  </r>
  <r>
    <x v="19"/>
    <x v="1"/>
    <s v="Travel_Rarely"/>
    <n v="265"/>
    <x v="0"/>
    <n v="5"/>
    <n v="2"/>
    <s v="Marketing"/>
    <n v="1"/>
    <n v="1029"/>
    <x v="2"/>
    <x v="1"/>
    <x v="62"/>
    <x v="0"/>
    <x v="4"/>
    <x v="5"/>
    <x v="2"/>
    <x v="1"/>
    <x v="705"/>
    <x v="735"/>
    <x v="2"/>
    <s v="Y"/>
    <s v="No"/>
    <x v="4"/>
    <x v="0"/>
    <n v="2"/>
    <x v="0"/>
    <n v="0"/>
    <x v="24"/>
    <n v="3"/>
    <x v="3"/>
    <x v="6"/>
    <x v="2"/>
    <x v="0"/>
    <x v="2"/>
  </r>
  <r>
    <x v="24"/>
    <x v="1"/>
    <s v="Travel_Rarely"/>
    <n v="804"/>
    <x v="1"/>
    <n v="9"/>
    <n v="3"/>
    <s v="Life Sciences"/>
    <n v="1"/>
    <n v="1030"/>
    <x v="3"/>
    <x v="1"/>
    <x v="51"/>
    <x v="0"/>
    <x v="1"/>
    <x v="2"/>
    <x v="0"/>
    <x v="1"/>
    <x v="631"/>
    <x v="736"/>
    <x v="5"/>
    <s v="Y"/>
    <s v="No"/>
    <x v="11"/>
    <x v="0"/>
    <n v="2"/>
    <x v="0"/>
    <n v="0"/>
    <x v="0"/>
    <n v="5"/>
    <x v="1"/>
    <x v="6"/>
    <x v="2"/>
    <x v="0"/>
    <x v="2"/>
  </r>
  <r>
    <x v="6"/>
    <x v="1"/>
    <s v="Travel_Rarely"/>
    <n v="715"/>
    <x v="1"/>
    <n v="2"/>
    <n v="3"/>
    <s v="Life Sciences"/>
    <n v="1"/>
    <n v="1032"/>
    <x v="1"/>
    <x v="0"/>
    <x v="68"/>
    <x v="1"/>
    <x v="3"/>
    <x v="3"/>
    <x v="0"/>
    <x v="0"/>
    <x v="706"/>
    <x v="737"/>
    <x v="9"/>
    <s v="Y"/>
    <s v="Yes"/>
    <x v="4"/>
    <x v="0"/>
    <n v="1"/>
    <x v="0"/>
    <n v="0"/>
    <x v="31"/>
    <n v="4"/>
    <x v="1"/>
    <x v="8"/>
    <x v="7"/>
    <x v="5"/>
    <x v="6"/>
  </r>
  <r>
    <x v="2"/>
    <x v="0"/>
    <s v="Travel_Rarely"/>
    <n v="1141"/>
    <x v="1"/>
    <n v="11"/>
    <n v="2"/>
    <s v="Medical"/>
    <n v="1"/>
    <n v="1033"/>
    <x v="3"/>
    <x v="0"/>
    <x v="1"/>
    <x v="3"/>
    <x v="0"/>
    <x v="4"/>
    <x v="1"/>
    <x v="1"/>
    <x v="707"/>
    <x v="738"/>
    <x v="6"/>
    <s v="Y"/>
    <s v="No"/>
    <x v="2"/>
    <x v="0"/>
    <n v="1"/>
    <x v="0"/>
    <n v="0"/>
    <x v="20"/>
    <n v="2"/>
    <x v="0"/>
    <x v="6"/>
    <x v="2"/>
    <x v="0"/>
    <x v="2"/>
  </r>
  <r>
    <x v="27"/>
    <x v="1"/>
    <s v="Travel_Frequently"/>
    <n v="135"/>
    <x v="1"/>
    <n v="18"/>
    <n v="4"/>
    <s v="Medical"/>
    <n v="1"/>
    <n v="1034"/>
    <x v="1"/>
    <x v="1"/>
    <x v="50"/>
    <x v="0"/>
    <x v="0"/>
    <x v="4"/>
    <x v="1"/>
    <x v="1"/>
    <x v="708"/>
    <x v="739"/>
    <x v="9"/>
    <s v="Y"/>
    <s v="Yes"/>
    <x v="9"/>
    <x v="0"/>
    <n v="4"/>
    <x v="0"/>
    <n v="2"/>
    <x v="6"/>
    <n v="3"/>
    <x v="1"/>
    <x v="3"/>
    <x v="1"/>
    <x v="7"/>
    <x v="1"/>
  </r>
  <r>
    <x v="0"/>
    <x v="1"/>
    <s v="Non-Travel"/>
    <n v="247"/>
    <x v="1"/>
    <n v="7"/>
    <n v="1"/>
    <s v="Life Sciences"/>
    <n v="1"/>
    <n v="1035"/>
    <x v="0"/>
    <x v="0"/>
    <x v="46"/>
    <x v="3"/>
    <x v="4"/>
    <x v="7"/>
    <x v="2"/>
    <x v="2"/>
    <x v="709"/>
    <x v="740"/>
    <x v="1"/>
    <s v="Y"/>
    <s v="No"/>
    <x v="6"/>
    <x v="1"/>
    <n v="2"/>
    <x v="0"/>
    <n v="2"/>
    <x v="24"/>
    <n v="3"/>
    <x v="1"/>
    <x v="17"/>
    <x v="13"/>
    <x v="8"/>
    <x v="13"/>
  </r>
  <r>
    <x v="8"/>
    <x v="1"/>
    <s v="Travel_Rarely"/>
    <n v="1035"/>
    <x v="0"/>
    <n v="3"/>
    <n v="4"/>
    <s v="Life Sciences"/>
    <n v="1"/>
    <n v="1036"/>
    <x v="0"/>
    <x v="1"/>
    <x v="25"/>
    <x v="0"/>
    <x v="0"/>
    <x v="0"/>
    <x v="0"/>
    <x v="0"/>
    <x v="710"/>
    <x v="741"/>
    <x v="0"/>
    <s v="Y"/>
    <s v="Yes"/>
    <x v="3"/>
    <x v="0"/>
    <n v="3"/>
    <x v="0"/>
    <n v="0"/>
    <x v="16"/>
    <n v="1"/>
    <x v="1"/>
    <x v="6"/>
    <x v="2"/>
    <x v="0"/>
    <x v="2"/>
  </r>
  <r>
    <x v="25"/>
    <x v="0"/>
    <s v="Non-Travel"/>
    <n v="265"/>
    <x v="0"/>
    <n v="29"/>
    <n v="2"/>
    <s v="Medical"/>
    <n v="1"/>
    <n v="1037"/>
    <x v="0"/>
    <x v="1"/>
    <x v="5"/>
    <x v="3"/>
    <x v="0"/>
    <x v="0"/>
    <x v="3"/>
    <x v="0"/>
    <x v="711"/>
    <x v="742"/>
    <x v="0"/>
    <s v="Y"/>
    <s v="No"/>
    <x v="11"/>
    <x v="0"/>
    <n v="4"/>
    <x v="0"/>
    <n v="0"/>
    <x v="2"/>
    <n v="6"/>
    <x v="1"/>
    <x v="4"/>
    <x v="3"/>
    <x v="3"/>
    <x v="3"/>
  </r>
  <r>
    <x v="39"/>
    <x v="0"/>
    <s v="Travel_Rarely"/>
    <n v="266"/>
    <x v="0"/>
    <n v="2"/>
    <n v="1"/>
    <s v="Marketing"/>
    <n v="1"/>
    <n v="1038"/>
    <x v="3"/>
    <x v="0"/>
    <x v="42"/>
    <x v="3"/>
    <x v="4"/>
    <x v="5"/>
    <x v="0"/>
    <x v="1"/>
    <x v="712"/>
    <x v="743"/>
    <x v="1"/>
    <s v="Y"/>
    <s v="No"/>
    <x v="2"/>
    <x v="0"/>
    <n v="4"/>
    <x v="0"/>
    <n v="1"/>
    <x v="37"/>
    <n v="3"/>
    <x v="1"/>
    <x v="32"/>
    <x v="12"/>
    <x v="7"/>
    <x v="12"/>
  </r>
  <r>
    <x v="20"/>
    <x v="1"/>
    <s v="Travel_Rarely"/>
    <n v="1448"/>
    <x v="0"/>
    <n v="28"/>
    <n v="3"/>
    <s v="Medical"/>
    <n v="1"/>
    <n v="1039"/>
    <x v="2"/>
    <x v="0"/>
    <x v="20"/>
    <x v="2"/>
    <x v="3"/>
    <x v="0"/>
    <x v="0"/>
    <x v="1"/>
    <x v="713"/>
    <x v="670"/>
    <x v="9"/>
    <s v="Y"/>
    <s v="Yes"/>
    <x v="11"/>
    <x v="0"/>
    <n v="3"/>
    <x v="0"/>
    <n v="1"/>
    <x v="18"/>
    <n v="2"/>
    <x v="1"/>
    <x v="12"/>
    <x v="14"/>
    <x v="14"/>
    <x v="7"/>
  </r>
  <r>
    <x v="24"/>
    <x v="1"/>
    <s v="Non-Travel"/>
    <n v="145"/>
    <x v="0"/>
    <n v="1"/>
    <n v="3"/>
    <s v="Life Sciences"/>
    <n v="1"/>
    <n v="1040"/>
    <x v="2"/>
    <x v="0"/>
    <x v="41"/>
    <x v="0"/>
    <x v="0"/>
    <x v="0"/>
    <x v="2"/>
    <x v="1"/>
    <x v="136"/>
    <x v="744"/>
    <x v="4"/>
    <s v="Y"/>
    <s v="No"/>
    <x v="3"/>
    <x v="0"/>
    <n v="1"/>
    <x v="0"/>
    <n v="1"/>
    <x v="16"/>
    <n v="3"/>
    <x v="1"/>
    <x v="29"/>
    <x v="1"/>
    <x v="0"/>
    <x v="15"/>
  </r>
  <r>
    <x v="9"/>
    <x v="0"/>
    <s v="Travel_Rarely"/>
    <n v="885"/>
    <x v="1"/>
    <n v="16"/>
    <n v="4"/>
    <s v="Life Sciences"/>
    <n v="1"/>
    <n v="1042"/>
    <x v="1"/>
    <x v="0"/>
    <x v="38"/>
    <x v="2"/>
    <x v="1"/>
    <x v="2"/>
    <x v="3"/>
    <x v="0"/>
    <x v="714"/>
    <x v="745"/>
    <x v="1"/>
    <s v="Y"/>
    <s v="No"/>
    <x v="10"/>
    <x v="0"/>
    <n v="3"/>
    <x v="0"/>
    <n v="0"/>
    <x v="33"/>
    <n v="1"/>
    <x v="1"/>
    <x v="18"/>
    <x v="9"/>
    <x v="9"/>
    <x v="17"/>
  </r>
  <r>
    <x v="22"/>
    <x v="1"/>
    <s v="Travel_Frequently"/>
    <n v="945"/>
    <x v="1"/>
    <n v="22"/>
    <n v="3"/>
    <s v="Medical"/>
    <n v="1"/>
    <n v="1043"/>
    <x v="2"/>
    <x v="0"/>
    <x v="19"/>
    <x v="0"/>
    <x v="2"/>
    <x v="3"/>
    <x v="3"/>
    <x v="0"/>
    <x v="715"/>
    <x v="746"/>
    <x v="1"/>
    <s v="Y"/>
    <s v="Yes"/>
    <x v="4"/>
    <x v="0"/>
    <n v="3"/>
    <x v="0"/>
    <n v="0"/>
    <x v="24"/>
    <n v="2"/>
    <x v="1"/>
    <x v="17"/>
    <x v="8"/>
    <x v="3"/>
    <x v="5"/>
  </r>
  <r>
    <x v="3"/>
    <x v="1"/>
    <s v="Non-Travel"/>
    <n v="1038"/>
    <x v="0"/>
    <n v="8"/>
    <n v="1"/>
    <s v="Life Sciences"/>
    <n v="1"/>
    <n v="1044"/>
    <x v="0"/>
    <x v="0"/>
    <x v="64"/>
    <x v="1"/>
    <x v="1"/>
    <x v="6"/>
    <x v="0"/>
    <x v="0"/>
    <x v="531"/>
    <x v="747"/>
    <x v="4"/>
    <s v="Y"/>
    <s v="No"/>
    <x v="12"/>
    <x v="0"/>
    <n v="4"/>
    <x v="0"/>
    <n v="0"/>
    <x v="8"/>
    <n v="2"/>
    <x v="2"/>
    <x v="4"/>
    <x v="3"/>
    <x v="3"/>
    <x v="3"/>
  </r>
  <r>
    <x v="28"/>
    <x v="1"/>
    <s v="Travel_Rarely"/>
    <n v="1234"/>
    <x v="0"/>
    <n v="11"/>
    <n v="2"/>
    <s v="Life Sciences"/>
    <n v="1"/>
    <n v="1045"/>
    <x v="2"/>
    <x v="0"/>
    <x v="62"/>
    <x v="0"/>
    <x v="3"/>
    <x v="5"/>
    <x v="0"/>
    <x v="1"/>
    <x v="716"/>
    <x v="748"/>
    <x v="9"/>
    <s v="Y"/>
    <s v="No"/>
    <x v="4"/>
    <x v="0"/>
    <n v="2"/>
    <x v="0"/>
    <n v="1"/>
    <x v="12"/>
    <n v="4"/>
    <x v="3"/>
    <x v="7"/>
    <x v="7"/>
    <x v="1"/>
    <x v="9"/>
  </r>
  <r>
    <x v="5"/>
    <x v="1"/>
    <s v="Non-Travel"/>
    <n v="1109"/>
    <x v="1"/>
    <n v="29"/>
    <n v="4"/>
    <s v="Medical"/>
    <n v="1"/>
    <n v="1046"/>
    <x v="2"/>
    <x v="0"/>
    <x v="68"/>
    <x v="0"/>
    <x v="1"/>
    <x v="2"/>
    <x v="2"/>
    <x v="0"/>
    <x v="717"/>
    <x v="749"/>
    <x v="3"/>
    <s v="Y"/>
    <s v="No"/>
    <x v="3"/>
    <x v="0"/>
    <n v="2"/>
    <x v="0"/>
    <n v="0"/>
    <x v="1"/>
    <n v="2"/>
    <x v="1"/>
    <x v="3"/>
    <x v="1"/>
    <x v="4"/>
    <x v="1"/>
  </r>
  <r>
    <x v="13"/>
    <x v="1"/>
    <s v="Travel_Rarely"/>
    <n v="216"/>
    <x v="0"/>
    <n v="1"/>
    <n v="4"/>
    <s v="Marketing"/>
    <n v="1"/>
    <n v="1047"/>
    <x v="0"/>
    <x v="1"/>
    <x v="29"/>
    <x v="2"/>
    <x v="0"/>
    <x v="0"/>
    <x v="0"/>
    <x v="2"/>
    <x v="718"/>
    <x v="750"/>
    <x v="4"/>
    <s v="Y"/>
    <s v="No"/>
    <x v="0"/>
    <x v="0"/>
    <n v="4"/>
    <x v="0"/>
    <n v="1"/>
    <x v="28"/>
    <n v="2"/>
    <x v="2"/>
    <x v="15"/>
    <x v="10"/>
    <x v="0"/>
    <x v="12"/>
  </r>
  <r>
    <x v="6"/>
    <x v="1"/>
    <s v="Travel_Rarely"/>
    <n v="1089"/>
    <x v="0"/>
    <n v="1"/>
    <n v="2"/>
    <s v="Technical Degree"/>
    <n v="1"/>
    <n v="1048"/>
    <x v="0"/>
    <x v="1"/>
    <x v="45"/>
    <x v="0"/>
    <x v="2"/>
    <x v="5"/>
    <x v="0"/>
    <x v="1"/>
    <x v="719"/>
    <x v="751"/>
    <x v="9"/>
    <s v="Y"/>
    <s v="Yes"/>
    <x v="9"/>
    <x v="0"/>
    <n v="3"/>
    <x v="0"/>
    <n v="1"/>
    <x v="19"/>
    <n v="1"/>
    <x v="0"/>
    <x v="0"/>
    <x v="0"/>
    <x v="0"/>
    <x v="10"/>
  </r>
  <r>
    <x v="28"/>
    <x v="1"/>
    <s v="Travel_Rarely"/>
    <n v="788"/>
    <x v="2"/>
    <n v="24"/>
    <n v="4"/>
    <s v="Medical"/>
    <n v="1"/>
    <n v="1049"/>
    <x v="0"/>
    <x v="1"/>
    <x v="34"/>
    <x v="0"/>
    <x v="1"/>
    <x v="8"/>
    <x v="1"/>
    <x v="0"/>
    <x v="221"/>
    <x v="752"/>
    <x v="1"/>
    <s v="Y"/>
    <s v="No"/>
    <x v="10"/>
    <x v="0"/>
    <n v="1"/>
    <x v="0"/>
    <n v="0"/>
    <x v="3"/>
    <n v="3"/>
    <x v="1"/>
    <x v="0"/>
    <x v="7"/>
    <x v="0"/>
    <x v="10"/>
  </r>
  <r>
    <x v="16"/>
    <x v="1"/>
    <s v="Travel_Frequently"/>
    <n v="124"/>
    <x v="0"/>
    <n v="2"/>
    <n v="3"/>
    <s v="Marketing"/>
    <n v="1"/>
    <n v="1050"/>
    <x v="1"/>
    <x v="0"/>
    <x v="70"/>
    <x v="1"/>
    <x v="2"/>
    <x v="0"/>
    <x v="1"/>
    <x v="1"/>
    <x v="720"/>
    <x v="753"/>
    <x v="7"/>
    <s v="Y"/>
    <s v="No"/>
    <x v="3"/>
    <x v="0"/>
    <n v="1"/>
    <x v="0"/>
    <n v="1"/>
    <x v="31"/>
    <n v="2"/>
    <x v="1"/>
    <x v="15"/>
    <x v="1"/>
    <x v="7"/>
    <x v="11"/>
  </r>
  <r>
    <x v="9"/>
    <x v="0"/>
    <s v="Travel_Rarely"/>
    <n v="660"/>
    <x v="1"/>
    <n v="15"/>
    <n v="3"/>
    <s v="Other"/>
    <n v="1"/>
    <n v="1052"/>
    <x v="3"/>
    <x v="1"/>
    <x v="6"/>
    <x v="0"/>
    <x v="0"/>
    <x v="2"/>
    <x v="2"/>
    <x v="2"/>
    <x v="721"/>
    <x v="754"/>
    <x v="8"/>
    <s v="Y"/>
    <s v="No"/>
    <x v="9"/>
    <x v="0"/>
    <n v="2"/>
    <x v="0"/>
    <n v="1"/>
    <x v="15"/>
    <n v="3"/>
    <x v="2"/>
    <x v="6"/>
    <x v="2"/>
    <x v="0"/>
    <x v="2"/>
  </r>
  <r>
    <x v="25"/>
    <x v="0"/>
    <s v="Travel_Frequently"/>
    <n v="342"/>
    <x v="1"/>
    <n v="2"/>
    <n v="3"/>
    <s v="Life Sciences"/>
    <n v="1"/>
    <n v="1053"/>
    <x v="3"/>
    <x v="1"/>
    <x v="42"/>
    <x v="0"/>
    <x v="1"/>
    <x v="1"/>
    <x v="3"/>
    <x v="1"/>
    <x v="96"/>
    <x v="755"/>
    <x v="2"/>
    <s v="Y"/>
    <s v="Yes"/>
    <x v="9"/>
    <x v="0"/>
    <n v="2"/>
    <x v="0"/>
    <n v="1"/>
    <x v="3"/>
    <n v="2"/>
    <x v="1"/>
    <x v="11"/>
    <x v="3"/>
    <x v="1"/>
    <x v="3"/>
  </r>
  <r>
    <x v="13"/>
    <x v="1"/>
    <s v="Travel_Rarely"/>
    <n v="1333"/>
    <x v="0"/>
    <n v="10"/>
    <n v="4"/>
    <s v="Life Sciences"/>
    <n v="1"/>
    <n v="1055"/>
    <x v="1"/>
    <x v="0"/>
    <x v="44"/>
    <x v="0"/>
    <x v="1"/>
    <x v="6"/>
    <x v="2"/>
    <x v="1"/>
    <x v="722"/>
    <x v="756"/>
    <x v="1"/>
    <s v="Y"/>
    <s v="Yes"/>
    <x v="12"/>
    <x v="0"/>
    <n v="4"/>
    <x v="0"/>
    <n v="1"/>
    <x v="5"/>
    <n v="2"/>
    <x v="1"/>
    <x v="6"/>
    <x v="10"/>
    <x v="0"/>
    <x v="2"/>
  </r>
  <r>
    <x v="14"/>
    <x v="1"/>
    <s v="Travel_Rarely"/>
    <n v="1144"/>
    <x v="0"/>
    <n v="10"/>
    <n v="1"/>
    <s v="Medical"/>
    <n v="1"/>
    <n v="1056"/>
    <x v="2"/>
    <x v="1"/>
    <x v="69"/>
    <x v="0"/>
    <x v="1"/>
    <x v="6"/>
    <x v="1"/>
    <x v="1"/>
    <x v="723"/>
    <x v="757"/>
    <x v="1"/>
    <s v="Y"/>
    <s v="No"/>
    <x v="6"/>
    <x v="1"/>
    <n v="2"/>
    <x v="0"/>
    <n v="0"/>
    <x v="5"/>
    <n v="5"/>
    <x v="1"/>
    <x v="6"/>
    <x v="2"/>
    <x v="0"/>
    <x v="2"/>
  </r>
  <r>
    <x v="8"/>
    <x v="1"/>
    <s v="Travel_Frequently"/>
    <n v="1186"/>
    <x v="1"/>
    <n v="3"/>
    <n v="4"/>
    <s v="Other"/>
    <n v="1"/>
    <n v="1060"/>
    <x v="1"/>
    <x v="1"/>
    <x v="8"/>
    <x v="0"/>
    <x v="1"/>
    <x v="1"/>
    <x v="2"/>
    <x v="1"/>
    <x v="724"/>
    <x v="758"/>
    <x v="9"/>
    <s v="Y"/>
    <s v="No"/>
    <x v="10"/>
    <x v="0"/>
    <n v="1"/>
    <x v="0"/>
    <n v="1"/>
    <x v="0"/>
    <n v="2"/>
    <x v="1"/>
    <x v="4"/>
    <x v="3"/>
    <x v="3"/>
    <x v="3"/>
  </r>
  <r>
    <x v="24"/>
    <x v="1"/>
    <s v="Travel_Rarely"/>
    <n v="1464"/>
    <x v="1"/>
    <n v="2"/>
    <n v="4"/>
    <s v="Medical"/>
    <n v="1"/>
    <n v="1061"/>
    <x v="0"/>
    <x v="1"/>
    <x v="50"/>
    <x v="0"/>
    <x v="4"/>
    <x v="7"/>
    <x v="2"/>
    <x v="1"/>
    <x v="725"/>
    <x v="759"/>
    <x v="7"/>
    <s v="Y"/>
    <s v="Yes"/>
    <x v="0"/>
    <x v="0"/>
    <n v="4"/>
    <x v="0"/>
    <n v="1"/>
    <x v="22"/>
    <n v="2"/>
    <x v="2"/>
    <x v="3"/>
    <x v="10"/>
    <x v="4"/>
    <x v="1"/>
  </r>
  <r>
    <x v="2"/>
    <x v="1"/>
    <s v="Travel_Rarely"/>
    <n v="124"/>
    <x v="1"/>
    <n v="3"/>
    <n v="3"/>
    <s v="Other"/>
    <n v="1"/>
    <n v="1062"/>
    <x v="2"/>
    <x v="0"/>
    <x v="58"/>
    <x v="0"/>
    <x v="0"/>
    <x v="4"/>
    <x v="1"/>
    <x v="0"/>
    <x v="726"/>
    <x v="760"/>
    <x v="9"/>
    <s v="Y"/>
    <s v="No"/>
    <x v="2"/>
    <x v="0"/>
    <n v="1"/>
    <x v="0"/>
    <n v="0"/>
    <x v="0"/>
    <n v="3"/>
    <x v="2"/>
    <x v="9"/>
    <x v="7"/>
    <x v="0"/>
    <x v="9"/>
  </r>
  <r>
    <x v="32"/>
    <x v="1"/>
    <s v="Travel_Rarely"/>
    <n v="300"/>
    <x v="0"/>
    <n v="26"/>
    <n v="3"/>
    <s v="Marketing"/>
    <n v="1"/>
    <n v="1066"/>
    <x v="1"/>
    <x v="1"/>
    <x v="69"/>
    <x v="0"/>
    <x v="0"/>
    <x v="0"/>
    <x v="3"/>
    <x v="1"/>
    <x v="727"/>
    <x v="761"/>
    <x v="1"/>
    <s v="Y"/>
    <s v="No"/>
    <x v="9"/>
    <x v="0"/>
    <n v="2"/>
    <x v="0"/>
    <n v="1"/>
    <x v="0"/>
    <n v="3"/>
    <x v="2"/>
    <x v="5"/>
    <x v="1"/>
    <x v="4"/>
    <x v="0"/>
  </r>
  <r>
    <x v="25"/>
    <x v="1"/>
    <s v="Travel_Frequently"/>
    <n v="921"/>
    <x v="1"/>
    <n v="1"/>
    <n v="1"/>
    <s v="Medical"/>
    <n v="1"/>
    <n v="1068"/>
    <x v="3"/>
    <x v="0"/>
    <x v="45"/>
    <x v="1"/>
    <x v="1"/>
    <x v="1"/>
    <x v="2"/>
    <x v="2"/>
    <x v="728"/>
    <x v="762"/>
    <x v="1"/>
    <s v="Y"/>
    <s v="No"/>
    <x v="4"/>
    <x v="0"/>
    <n v="3"/>
    <x v="0"/>
    <n v="2"/>
    <x v="7"/>
    <n v="5"/>
    <x v="1"/>
    <x v="8"/>
    <x v="7"/>
    <x v="1"/>
    <x v="6"/>
  </r>
  <r>
    <x v="21"/>
    <x v="1"/>
    <s v="Travel_Rarely"/>
    <n v="430"/>
    <x v="1"/>
    <n v="1"/>
    <n v="4"/>
    <s v="Medical"/>
    <n v="1"/>
    <n v="1069"/>
    <x v="2"/>
    <x v="1"/>
    <x v="4"/>
    <x v="0"/>
    <x v="4"/>
    <x v="7"/>
    <x v="0"/>
    <x v="2"/>
    <x v="729"/>
    <x v="763"/>
    <x v="3"/>
    <s v="Y"/>
    <s v="No"/>
    <x v="8"/>
    <x v="0"/>
    <n v="4"/>
    <x v="0"/>
    <n v="2"/>
    <x v="18"/>
    <n v="0"/>
    <x v="1"/>
    <x v="4"/>
    <x v="3"/>
    <x v="3"/>
    <x v="3"/>
  </r>
  <r>
    <x v="33"/>
    <x v="1"/>
    <s v="Travel_Rarely"/>
    <n v="1082"/>
    <x v="0"/>
    <n v="2"/>
    <n v="4"/>
    <s v="Life Sciences"/>
    <n v="1"/>
    <n v="1070"/>
    <x v="1"/>
    <x v="0"/>
    <x v="26"/>
    <x v="1"/>
    <x v="2"/>
    <x v="0"/>
    <x v="2"/>
    <x v="1"/>
    <x v="730"/>
    <x v="764"/>
    <x v="2"/>
    <s v="Y"/>
    <s v="No"/>
    <x v="0"/>
    <x v="0"/>
    <n v="2"/>
    <x v="0"/>
    <n v="1"/>
    <x v="10"/>
    <n v="4"/>
    <x v="1"/>
    <x v="7"/>
    <x v="0"/>
    <x v="4"/>
    <x v="2"/>
  </r>
  <r>
    <x v="29"/>
    <x v="1"/>
    <s v="Travel_Frequently"/>
    <n v="1240"/>
    <x v="1"/>
    <n v="9"/>
    <n v="3"/>
    <s v="Medical"/>
    <n v="1"/>
    <n v="1071"/>
    <x v="3"/>
    <x v="0"/>
    <x v="52"/>
    <x v="0"/>
    <x v="1"/>
    <x v="1"/>
    <x v="2"/>
    <x v="1"/>
    <x v="131"/>
    <x v="765"/>
    <x v="7"/>
    <s v="Y"/>
    <s v="No"/>
    <x v="12"/>
    <x v="0"/>
    <n v="2"/>
    <x v="0"/>
    <n v="1"/>
    <x v="33"/>
    <n v="4"/>
    <x v="1"/>
    <x v="8"/>
    <x v="0"/>
    <x v="0"/>
    <x v="6"/>
  </r>
  <r>
    <x v="9"/>
    <x v="1"/>
    <s v="Travel_Rarely"/>
    <n v="796"/>
    <x v="1"/>
    <n v="12"/>
    <n v="5"/>
    <s v="Medical"/>
    <n v="1"/>
    <n v="1073"/>
    <x v="2"/>
    <x v="0"/>
    <x v="14"/>
    <x v="1"/>
    <x v="2"/>
    <x v="3"/>
    <x v="0"/>
    <x v="0"/>
    <x v="731"/>
    <x v="766"/>
    <x v="4"/>
    <s v="Y"/>
    <s v="No"/>
    <x v="0"/>
    <x v="0"/>
    <n v="2"/>
    <x v="0"/>
    <n v="0"/>
    <x v="20"/>
    <n v="2"/>
    <x v="2"/>
    <x v="13"/>
    <x v="6"/>
    <x v="4"/>
    <x v="5"/>
  </r>
  <r>
    <x v="27"/>
    <x v="1"/>
    <s v="Non-Travel"/>
    <n v="444"/>
    <x v="1"/>
    <n v="2"/>
    <n v="1"/>
    <s v="Medical"/>
    <n v="1"/>
    <n v="1074"/>
    <x v="1"/>
    <x v="1"/>
    <x v="4"/>
    <x v="1"/>
    <x v="3"/>
    <x v="5"/>
    <x v="3"/>
    <x v="0"/>
    <x v="732"/>
    <x v="767"/>
    <x v="8"/>
    <s v="Y"/>
    <s v="No"/>
    <x v="2"/>
    <x v="0"/>
    <n v="2"/>
    <x v="0"/>
    <n v="0"/>
    <x v="9"/>
    <n v="3"/>
    <x v="3"/>
    <x v="7"/>
    <x v="1"/>
    <x v="7"/>
    <x v="3"/>
  </r>
  <r>
    <x v="23"/>
    <x v="1"/>
    <s v="Travel_Rarely"/>
    <n v="415"/>
    <x v="0"/>
    <n v="25"/>
    <n v="3"/>
    <s v="Medical"/>
    <n v="1"/>
    <n v="1076"/>
    <x v="1"/>
    <x v="1"/>
    <x v="5"/>
    <x v="1"/>
    <x v="2"/>
    <x v="0"/>
    <x v="0"/>
    <x v="2"/>
    <x v="733"/>
    <x v="768"/>
    <x v="6"/>
    <s v="Y"/>
    <s v="No"/>
    <x v="4"/>
    <x v="0"/>
    <n v="3"/>
    <x v="0"/>
    <n v="1"/>
    <x v="33"/>
    <n v="5"/>
    <x v="1"/>
    <x v="6"/>
    <x v="2"/>
    <x v="0"/>
    <x v="2"/>
  </r>
  <r>
    <x v="35"/>
    <x v="0"/>
    <s v="Travel_Frequently"/>
    <n v="769"/>
    <x v="0"/>
    <n v="9"/>
    <n v="3"/>
    <s v="Marketing"/>
    <n v="1"/>
    <n v="1077"/>
    <x v="2"/>
    <x v="0"/>
    <x v="60"/>
    <x v="0"/>
    <x v="1"/>
    <x v="6"/>
    <x v="0"/>
    <x v="0"/>
    <x v="157"/>
    <x v="769"/>
    <x v="1"/>
    <s v="Y"/>
    <s v="Yes"/>
    <x v="9"/>
    <x v="0"/>
    <n v="2"/>
    <x v="0"/>
    <n v="0"/>
    <x v="17"/>
    <n v="3"/>
    <x v="1"/>
    <x v="4"/>
    <x v="3"/>
    <x v="0"/>
    <x v="3"/>
  </r>
  <r>
    <x v="18"/>
    <x v="0"/>
    <s v="Travel_Rarely"/>
    <n v="1334"/>
    <x v="1"/>
    <n v="10"/>
    <n v="3"/>
    <s v="Life Sciences"/>
    <n v="1"/>
    <n v="1079"/>
    <x v="1"/>
    <x v="0"/>
    <x v="34"/>
    <x v="1"/>
    <x v="1"/>
    <x v="2"/>
    <x v="3"/>
    <x v="0"/>
    <x v="734"/>
    <x v="770"/>
    <x v="1"/>
    <s v="Y"/>
    <s v="No"/>
    <x v="4"/>
    <x v="0"/>
    <n v="1"/>
    <x v="0"/>
    <n v="0"/>
    <x v="5"/>
    <n v="6"/>
    <x v="2"/>
    <x v="6"/>
    <x v="2"/>
    <x v="1"/>
    <x v="2"/>
  </r>
  <r>
    <x v="21"/>
    <x v="1"/>
    <s v="Travel_Rarely"/>
    <n v="1003"/>
    <x v="1"/>
    <n v="8"/>
    <n v="4"/>
    <s v="Life Sciences"/>
    <n v="1"/>
    <n v="1080"/>
    <x v="2"/>
    <x v="0"/>
    <x v="69"/>
    <x v="1"/>
    <x v="0"/>
    <x v="1"/>
    <x v="3"/>
    <x v="2"/>
    <x v="735"/>
    <x v="771"/>
    <x v="0"/>
    <s v="Y"/>
    <s v="Yes"/>
    <x v="1"/>
    <x v="1"/>
    <n v="1"/>
    <x v="0"/>
    <n v="3"/>
    <x v="16"/>
    <n v="2"/>
    <x v="1"/>
    <x v="22"/>
    <x v="9"/>
    <x v="1"/>
    <x v="1"/>
  </r>
  <r>
    <x v="31"/>
    <x v="0"/>
    <s v="Travel_Rarely"/>
    <n v="1323"/>
    <x v="1"/>
    <n v="4"/>
    <n v="4"/>
    <s v="Life Sciences"/>
    <n v="1"/>
    <n v="1081"/>
    <x v="3"/>
    <x v="1"/>
    <x v="61"/>
    <x v="0"/>
    <x v="1"/>
    <x v="1"/>
    <x v="2"/>
    <x v="1"/>
    <x v="736"/>
    <x v="772"/>
    <x v="3"/>
    <s v="Y"/>
    <s v="Yes"/>
    <x v="3"/>
    <x v="0"/>
    <n v="3"/>
    <x v="0"/>
    <n v="3"/>
    <x v="33"/>
    <n v="2"/>
    <x v="3"/>
    <x v="1"/>
    <x v="2"/>
    <x v="3"/>
    <x v="1"/>
  </r>
  <r>
    <x v="14"/>
    <x v="0"/>
    <s v="Non-Travel"/>
    <n v="1366"/>
    <x v="1"/>
    <n v="24"/>
    <n v="2"/>
    <s v="Technical Degree"/>
    <n v="1"/>
    <n v="1082"/>
    <x v="0"/>
    <x v="1"/>
    <x v="23"/>
    <x v="1"/>
    <x v="2"/>
    <x v="4"/>
    <x v="3"/>
    <x v="0"/>
    <x v="737"/>
    <x v="773"/>
    <x v="1"/>
    <s v="Y"/>
    <s v="No"/>
    <x v="3"/>
    <x v="0"/>
    <n v="1"/>
    <x v="0"/>
    <n v="0"/>
    <x v="1"/>
    <n v="2"/>
    <x v="2"/>
    <x v="1"/>
    <x v="1"/>
    <x v="1"/>
    <x v="12"/>
  </r>
  <r>
    <x v="25"/>
    <x v="1"/>
    <s v="Travel_Rarely"/>
    <n v="192"/>
    <x v="1"/>
    <n v="1"/>
    <n v="2"/>
    <s v="Medical"/>
    <n v="1"/>
    <n v="1083"/>
    <x v="3"/>
    <x v="1"/>
    <x v="40"/>
    <x v="1"/>
    <x v="1"/>
    <x v="2"/>
    <x v="3"/>
    <x v="1"/>
    <x v="738"/>
    <x v="774"/>
    <x v="1"/>
    <s v="Y"/>
    <s v="No"/>
    <x v="10"/>
    <x v="0"/>
    <n v="1"/>
    <x v="0"/>
    <n v="2"/>
    <x v="3"/>
    <n v="2"/>
    <x v="1"/>
    <x v="8"/>
    <x v="7"/>
    <x v="1"/>
    <x v="6"/>
  </r>
  <r>
    <x v="7"/>
    <x v="1"/>
    <s v="Travel_Rarely"/>
    <n v="1176"/>
    <x v="1"/>
    <n v="20"/>
    <n v="3"/>
    <s v="Other"/>
    <n v="1"/>
    <n v="1084"/>
    <x v="1"/>
    <x v="1"/>
    <x v="65"/>
    <x v="0"/>
    <x v="0"/>
    <x v="3"/>
    <x v="3"/>
    <x v="1"/>
    <x v="739"/>
    <x v="227"/>
    <x v="4"/>
    <s v="Y"/>
    <s v="No"/>
    <x v="2"/>
    <x v="0"/>
    <n v="3"/>
    <x v="0"/>
    <n v="1"/>
    <x v="2"/>
    <n v="1"/>
    <x v="2"/>
    <x v="0"/>
    <x v="3"/>
    <x v="0"/>
    <x v="3"/>
  </r>
  <r>
    <x v="0"/>
    <x v="1"/>
    <s v="Travel_Rarely"/>
    <n v="509"/>
    <x v="1"/>
    <n v="7"/>
    <n v="2"/>
    <s v="Technical Degree"/>
    <n v="1"/>
    <n v="1085"/>
    <x v="0"/>
    <x v="0"/>
    <x v="38"/>
    <x v="2"/>
    <x v="1"/>
    <x v="1"/>
    <x v="2"/>
    <x v="1"/>
    <x v="740"/>
    <x v="775"/>
    <x v="1"/>
    <s v="Y"/>
    <s v="No"/>
    <x v="4"/>
    <x v="0"/>
    <n v="3"/>
    <x v="0"/>
    <n v="0"/>
    <x v="1"/>
    <n v="3"/>
    <x v="1"/>
    <x v="1"/>
    <x v="8"/>
    <x v="0"/>
    <x v="5"/>
  </r>
  <r>
    <x v="8"/>
    <x v="1"/>
    <s v="Travel_Rarely"/>
    <n v="330"/>
    <x v="1"/>
    <n v="17"/>
    <n v="1"/>
    <s v="Life Sciences"/>
    <n v="1"/>
    <n v="1088"/>
    <x v="1"/>
    <x v="0"/>
    <x v="63"/>
    <x v="1"/>
    <x v="2"/>
    <x v="4"/>
    <x v="2"/>
    <x v="1"/>
    <x v="741"/>
    <x v="776"/>
    <x v="4"/>
    <s v="Y"/>
    <s v="No"/>
    <x v="11"/>
    <x v="0"/>
    <n v="1"/>
    <x v="0"/>
    <n v="1"/>
    <x v="26"/>
    <n v="4"/>
    <x v="2"/>
    <x v="27"/>
    <x v="5"/>
    <x v="1"/>
    <x v="12"/>
  </r>
  <r>
    <x v="32"/>
    <x v="1"/>
    <s v="Travel_Rarely"/>
    <n v="1492"/>
    <x v="1"/>
    <n v="20"/>
    <n v="4"/>
    <s v="Technical Degree"/>
    <n v="1"/>
    <n v="1092"/>
    <x v="3"/>
    <x v="1"/>
    <x v="1"/>
    <x v="0"/>
    <x v="2"/>
    <x v="4"/>
    <x v="0"/>
    <x v="1"/>
    <x v="742"/>
    <x v="777"/>
    <x v="5"/>
    <s v="Y"/>
    <s v="No"/>
    <x v="5"/>
    <x v="1"/>
    <n v="4"/>
    <x v="0"/>
    <n v="1"/>
    <x v="19"/>
    <n v="6"/>
    <x v="1"/>
    <x v="19"/>
    <x v="15"/>
    <x v="14"/>
    <x v="9"/>
  </r>
  <r>
    <x v="4"/>
    <x v="1"/>
    <s v="Non-Travel"/>
    <n v="1277"/>
    <x v="1"/>
    <n v="8"/>
    <n v="5"/>
    <s v="Life Sciences"/>
    <n v="1"/>
    <n v="1094"/>
    <x v="3"/>
    <x v="1"/>
    <x v="44"/>
    <x v="3"/>
    <x v="1"/>
    <x v="2"/>
    <x v="2"/>
    <x v="1"/>
    <x v="743"/>
    <x v="778"/>
    <x v="1"/>
    <s v="Y"/>
    <s v="No"/>
    <x v="12"/>
    <x v="0"/>
    <n v="4"/>
    <x v="0"/>
    <n v="3"/>
    <x v="8"/>
    <n v="4"/>
    <x v="1"/>
    <x v="11"/>
    <x v="3"/>
    <x v="1"/>
    <x v="3"/>
  </r>
  <r>
    <x v="27"/>
    <x v="1"/>
    <s v="Travel_Frequently"/>
    <n v="1091"/>
    <x v="1"/>
    <n v="2"/>
    <n v="1"/>
    <s v="Life Sciences"/>
    <n v="1"/>
    <n v="1096"/>
    <x v="2"/>
    <x v="1"/>
    <x v="63"/>
    <x v="0"/>
    <x v="2"/>
    <x v="3"/>
    <x v="1"/>
    <x v="1"/>
    <x v="744"/>
    <x v="779"/>
    <x v="9"/>
    <s v="Y"/>
    <s v="No"/>
    <x v="11"/>
    <x v="0"/>
    <n v="2"/>
    <x v="0"/>
    <n v="1"/>
    <x v="18"/>
    <n v="4"/>
    <x v="1"/>
    <x v="11"/>
    <x v="3"/>
    <x v="1"/>
    <x v="3"/>
  </r>
  <r>
    <x v="14"/>
    <x v="1"/>
    <s v="Travel_Rarely"/>
    <n v="857"/>
    <x v="1"/>
    <n v="10"/>
    <n v="3"/>
    <s v="Other"/>
    <n v="1"/>
    <n v="1097"/>
    <x v="1"/>
    <x v="0"/>
    <x v="40"/>
    <x v="0"/>
    <x v="0"/>
    <x v="1"/>
    <x v="2"/>
    <x v="0"/>
    <x v="745"/>
    <x v="780"/>
    <x v="9"/>
    <s v="Y"/>
    <s v="No"/>
    <x v="4"/>
    <x v="0"/>
    <n v="4"/>
    <x v="0"/>
    <n v="0"/>
    <x v="1"/>
    <n v="4"/>
    <x v="3"/>
    <x v="3"/>
    <x v="1"/>
    <x v="1"/>
    <x v="1"/>
  </r>
  <r>
    <x v="20"/>
    <x v="0"/>
    <s v="Travel_Rarely"/>
    <n v="1376"/>
    <x v="2"/>
    <n v="1"/>
    <n v="2"/>
    <s v="Medical"/>
    <n v="1"/>
    <n v="1098"/>
    <x v="0"/>
    <x v="1"/>
    <x v="59"/>
    <x v="1"/>
    <x v="2"/>
    <x v="8"/>
    <x v="3"/>
    <x v="1"/>
    <x v="746"/>
    <x v="781"/>
    <x v="3"/>
    <s v="Y"/>
    <s v="No"/>
    <x v="9"/>
    <x v="0"/>
    <n v="4"/>
    <x v="0"/>
    <n v="1"/>
    <x v="13"/>
    <n v="1"/>
    <x v="1"/>
    <x v="23"/>
    <x v="8"/>
    <x v="2"/>
    <x v="4"/>
  </r>
  <r>
    <x v="3"/>
    <x v="1"/>
    <s v="Travel_Rarely"/>
    <n v="654"/>
    <x v="1"/>
    <n v="5"/>
    <n v="3"/>
    <s v="Life Sciences"/>
    <n v="1"/>
    <n v="1099"/>
    <x v="2"/>
    <x v="1"/>
    <x v="61"/>
    <x v="1"/>
    <x v="2"/>
    <x v="4"/>
    <x v="0"/>
    <x v="2"/>
    <x v="747"/>
    <x v="782"/>
    <x v="5"/>
    <s v="Y"/>
    <s v="No"/>
    <x v="2"/>
    <x v="0"/>
    <n v="3"/>
    <x v="0"/>
    <n v="1"/>
    <x v="15"/>
    <n v="2"/>
    <x v="1"/>
    <x v="11"/>
    <x v="3"/>
    <x v="1"/>
    <x v="3"/>
  </r>
  <r>
    <x v="10"/>
    <x v="0"/>
    <s v="Travel_Rarely"/>
    <n v="1204"/>
    <x v="0"/>
    <n v="4"/>
    <n v="3"/>
    <s v="Technical Degree"/>
    <n v="1"/>
    <n v="1100"/>
    <x v="2"/>
    <x v="1"/>
    <x v="27"/>
    <x v="0"/>
    <x v="2"/>
    <x v="0"/>
    <x v="3"/>
    <x v="0"/>
    <x v="748"/>
    <x v="783"/>
    <x v="4"/>
    <s v="Y"/>
    <s v="Yes"/>
    <x v="6"/>
    <x v="1"/>
    <n v="1"/>
    <x v="0"/>
    <n v="0"/>
    <x v="15"/>
    <n v="2"/>
    <x v="1"/>
    <x v="3"/>
    <x v="1"/>
    <x v="5"/>
    <x v="1"/>
  </r>
  <r>
    <x v="3"/>
    <x v="0"/>
    <s v="Travel_Frequently"/>
    <n v="827"/>
    <x v="1"/>
    <n v="29"/>
    <n v="4"/>
    <s v="Medical"/>
    <n v="1"/>
    <n v="1101"/>
    <x v="3"/>
    <x v="0"/>
    <x v="60"/>
    <x v="1"/>
    <x v="0"/>
    <x v="1"/>
    <x v="2"/>
    <x v="0"/>
    <x v="749"/>
    <x v="784"/>
    <x v="1"/>
    <s v="Y"/>
    <s v="No"/>
    <x v="6"/>
    <x v="1"/>
    <n v="2"/>
    <x v="0"/>
    <n v="0"/>
    <x v="19"/>
    <n v="4"/>
    <x v="1"/>
    <x v="20"/>
    <x v="1"/>
    <x v="2"/>
    <x v="5"/>
  </r>
  <r>
    <x v="14"/>
    <x v="1"/>
    <s v="Travel_Rarely"/>
    <n v="895"/>
    <x v="1"/>
    <n v="15"/>
    <n v="2"/>
    <s v="Life Sciences"/>
    <n v="1"/>
    <n v="1102"/>
    <x v="3"/>
    <x v="1"/>
    <x v="13"/>
    <x v="0"/>
    <x v="1"/>
    <x v="2"/>
    <x v="2"/>
    <x v="2"/>
    <x v="750"/>
    <x v="785"/>
    <x v="1"/>
    <s v="Y"/>
    <s v="No"/>
    <x v="10"/>
    <x v="0"/>
    <n v="4"/>
    <x v="0"/>
    <n v="1"/>
    <x v="21"/>
    <n v="5"/>
    <x v="2"/>
    <x v="9"/>
    <x v="3"/>
    <x v="3"/>
    <x v="3"/>
  </r>
  <r>
    <x v="13"/>
    <x v="1"/>
    <s v="Travel_Frequently"/>
    <n v="618"/>
    <x v="1"/>
    <n v="3"/>
    <n v="1"/>
    <s v="Life Sciences"/>
    <n v="1"/>
    <n v="1103"/>
    <x v="3"/>
    <x v="1"/>
    <x v="18"/>
    <x v="0"/>
    <x v="0"/>
    <x v="4"/>
    <x v="0"/>
    <x v="0"/>
    <x v="751"/>
    <x v="786"/>
    <x v="4"/>
    <s v="Y"/>
    <s v="No"/>
    <x v="8"/>
    <x v="0"/>
    <n v="3"/>
    <x v="0"/>
    <n v="0"/>
    <x v="2"/>
    <n v="1"/>
    <x v="2"/>
    <x v="0"/>
    <x v="3"/>
    <x v="0"/>
    <x v="10"/>
  </r>
  <r>
    <x v="2"/>
    <x v="1"/>
    <s v="Travel_Rarely"/>
    <n v="309"/>
    <x v="0"/>
    <n v="10"/>
    <n v="4"/>
    <s v="Life Sciences"/>
    <n v="1"/>
    <n v="1105"/>
    <x v="2"/>
    <x v="0"/>
    <x v="64"/>
    <x v="1"/>
    <x v="0"/>
    <x v="0"/>
    <x v="0"/>
    <x v="2"/>
    <x v="752"/>
    <x v="787"/>
    <x v="7"/>
    <s v="Y"/>
    <s v="Yes"/>
    <x v="9"/>
    <x v="0"/>
    <n v="3"/>
    <x v="0"/>
    <n v="3"/>
    <x v="0"/>
    <n v="5"/>
    <x v="1"/>
    <x v="6"/>
    <x v="2"/>
    <x v="0"/>
    <x v="2"/>
  </r>
  <r>
    <x v="36"/>
    <x v="0"/>
    <s v="Travel_Rarely"/>
    <n v="1219"/>
    <x v="1"/>
    <n v="4"/>
    <n v="1"/>
    <s v="Technical Degree"/>
    <n v="1"/>
    <n v="1106"/>
    <x v="2"/>
    <x v="1"/>
    <x v="47"/>
    <x v="0"/>
    <x v="1"/>
    <x v="2"/>
    <x v="0"/>
    <x v="1"/>
    <x v="753"/>
    <x v="788"/>
    <x v="1"/>
    <s v="Y"/>
    <s v="Yes"/>
    <x v="2"/>
    <x v="0"/>
    <n v="2"/>
    <x v="0"/>
    <n v="1"/>
    <x v="2"/>
    <n v="3"/>
    <x v="3"/>
    <x v="5"/>
    <x v="1"/>
    <x v="8"/>
    <x v="4"/>
  </r>
  <r>
    <x v="25"/>
    <x v="0"/>
    <s v="Travel_Rarely"/>
    <n v="1330"/>
    <x v="1"/>
    <n v="21"/>
    <n v="3"/>
    <s v="Medical"/>
    <n v="1"/>
    <n v="1107"/>
    <x v="3"/>
    <x v="1"/>
    <x v="31"/>
    <x v="0"/>
    <x v="1"/>
    <x v="2"/>
    <x v="2"/>
    <x v="2"/>
    <x v="638"/>
    <x v="528"/>
    <x v="1"/>
    <s v="Y"/>
    <s v="No"/>
    <x v="5"/>
    <x v="1"/>
    <n v="3"/>
    <x v="0"/>
    <n v="1"/>
    <x v="5"/>
    <n v="0"/>
    <x v="2"/>
    <x v="6"/>
    <x v="10"/>
    <x v="0"/>
    <x v="2"/>
  </r>
  <r>
    <x v="3"/>
    <x v="0"/>
    <s v="Travel_Rarely"/>
    <n v="1017"/>
    <x v="1"/>
    <n v="25"/>
    <n v="3"/>
    <s v="Medical"/>
    <n v="1"/>
    <n v="1108"/>
    <x v="3"/>
    <x v="1"/>
    <x v="46"/>
    <x v="1"/>
    <x v="1"/>
    <x v="1"/>
    <x v="1"/>
    <x v="0"/>
    <x v="754"/>
    <x v="789"/>
    <x v="5"/>
    <s v="Y"/>
    <s v="Yes"/>
    <x v="5"/>
    <x v="1"/>
    <n v="2"/>
    <x v="0"/>
    <n v="0"/>
    <x v="7"/>
    <n v="0"/>
    <x v="1"/>
    <x v="4"/>
    <x v="3"/>
    <x v="3"/>
    <x v="3"/>
  </r>
  <r>
    <x v="19"/>
    <x v="1"/>
    <s v="Travel_Rarely"/>
    <n v="469"/>
    <x v="1"/>
    <n v="2"/>
    <n v="2"/>
    <s v="Medical"/>
    <n v="1"/>
    <n v="1109"/>
    <x v="2"/>
    <x v="1"/>
    <x v="58"/>
    <x v="0"/>
    <x v="3"/>
    <x v="5"/>
    <x v="3"/>
    <x v="1"/>
    <x v="755"/>
    <x v="790"/>
    <x v="4"/>
    <s v="Y"/>
    <s v="No"/>
    <x v="8"/>
    <x v="0"/>
    <n v="4"/>
    <x v="0"/>
    <n v="1"/>
    <x v="18"/>
    <n v="3"/>
    <x v="1"/>
    <x v="14"/>
    <x v="8"/>
    <x v="11"/>
    <x v="1"/>
  </r>
  <r>
    <x v="14"/>
    <x v="0"/>
    <s v="Travel_Frequently"/>
    <n v="1009"/>
    <x v="1"/>
    <n v="1"/>
    <n v="3"/>
    <s v="Medical"/>
    <n v="1"/>
    <n v="1111"/>
    <x v="3"/>
    <x v="1"/>
    <x v="18"/>
    <x v="1"/>
    <x v="1"/>
    <x v="2"/>
    <x v="1"/>
    <x v="2"/>
    <x v="756"/>
    <x v="791"/>
    <x v="1"/>
    <s v="Y"/>
    <s v="No"/>
    <x v="2"/>
    <x v="0"/>
    <n v="1"/>
    <x v="0"/>
    <n v="2"/>
    <x v="5"/>
    <n v="2"/>
    <x v="1"/>
    <x v="6"/>
    <x v="2"/>
    <x v="0"/>
    <x v="2"/>
  </r>
  <r>
    <x v="24"/>
    <x v="0"/>
    <s v="Travel_Frequently"/>
    <n v="959"/>
    <x v="0"/>
    <n v="1"/>
    <n v="4"/>
    <s v="Other"/>
    <n v="1"/>
    <n v="1113"/>
    <x v="2"/>
    <x v="1"/>
    <x v="6"/>
    <x v="0"/>
    <x v="0"/>
    <x v="0"/>
    <x v="2"/>
    <x v="0"/>
    <x v="757"/>
    <x v="792"/>
    <x v="9"/>
    <s v="Y"/>
    <s v="Yes"/>
    <x v="9"/>
    <x v="0"/>
    <n v="4"/>
    <x v="0"/>
    <n v="0"/>
    <x v="7"/>
    <n v="4"/>
    <x v="1"/>
    <x v="2"/>
    <x v="2"/>
    <x v="0"/>
    <x v="2"/>
  </r>
  <r>
    <x v="3"/>
    <x v="1"/>
    <s v="Travel_Frequently"/>
    <n v="970"/>
    <x v="0"/>
    <n v="7"/>
    <n v="3"/>
    <s v="Life Sciences"/>
    <n v="1"/>
    <n v="1114"/>
    <x v="2"/>
    <x v="0"/>
    <x v="37"/>
    <x v="0"/>
    <x v="0"/>
    <x v="0"/>
    <x v="1"/>
    <x v="1"/>
    <x v="758"/>
    <x v="793"/>
    <x v="4"/>
    <s v="Y"/>
    <s v="No"/>
    <x v="8"/>
    <x v="0"/>
    <n v="3"/>
    <x v="0"/>
    <n v="1"/>
    <x v="21"/>
    <n v="3"/>
    <x v="1"/>
    <x v="11"/>
    <x v="3"/>
    <x v="0"/>
    <x v="3"/>
  </r>
  <r>
    <x v="13"/>
    <x v="1"/>
    <s v="Non-Travel"/>
    <n v="697"/>
    <x v="1"/>
    <n v="3"/>
    <n v="4"/>
    <s v="Life Sciences"/>
    <n v="1"/>
    <n v="1115"/>
    <x v="1"/>
    <x v="1"/>
    <x v="4"/>
    <x v="1"/>
    <x v="1"/>
    <x v="1"/>
    <x v="0"/>
    <x v="1"/>
    <x v="759"/>
    <x v="794"/>
    <x v="9"/>
    <s v="Y"/>
    <s v="No"/>
    <x v="8"/>
    <x v="0"/>
    <n v="4"/>
    <x v="0"/>
    <n v="3"/>
    <x v="3"/>
    <n v="2"/>
    <x v="1"/>
    <x v="2"/>
    <x v="2"/>
    <x v="0"/>
    <x v="2"/>
  </r>
  <r>
    <x v="26"/>
    <x v="1"/>
    <s v="Non-Travel"/>
    <n v="1262"/>
    <x v="1"/>
    <n v="1"/>
    <n v="4"/>
    <s v="Medical"/>
    <n v="1"/>
    <n v="1116"/>
    <x v="3"/>
    <x v="1"/>
    <x v="58"/>
    <x v="2"/>
    <x v="3"/>
    <x v="5"/>
    <x v="0"/>
    <x v="0"/>
    <x v="760"/>
    <x v="795"/>
    <x v="7"/>
    <s v="Y"/>
    <s v="No"/>
    <x v="6"/>
    <x v="1"/>
    <n v="3"/>
    <x v="0"/>
    <n v="0"/>
    <x v="39"/>
    <n v="3"/>
    <x v="2"/>
    <x v="8"/>
    <x v="0"/>
    <x v="3"/>
    <x v="9"/>
  </r>
  <r>
    <x v="28"/>
    <x v="1"/>
    <s v="Non-Travel"/>
    <n v="1050"/>
    <x v="0"/>
    <n v="9"/>
    <n v="4"/>
    <s v="Life Sciences"/>
    <n v="1"/>
    <n v="1117"/>
    <x v="0"/>
    <x v="0"/>
    <x v="63"/>
    <x v="1"/>
    <x v="0"/>
    <x v="0"/>
    <x v="2"/>
    <x v="1"/>
    <x v="761"/>
    <x v="796"/>
    <x v="1"/>
    <s v="Y"/>
    <s v="No"/>
    <x v="4"/>
    <x v="0"/>
    <n v="4"/>
    <x v="0"/>
    <n v="1"/>
    <x v="20"/>
    <n v="2"/>
    <x v="1"/>
    <x v="15"/>
    <x v="15"/>
    <x v="5"/>
    <x v="11"/>
  </r>
  <r>
    <x v="39"/>
    <x v="1"/>
    <s v="Travel_Rarely"/>
    <n v="994"/>
    <x v="1"/>
    <n v="7"/>
    <n v="4"/>
    <s v="Life Sciences"/>
    <n v="1"/>
    <n v="1118"/>
    <x v="0"/>
    <x v="1"/>
    <x v="44"/>
    <x v="0"/>
    <x v="2"/>
    <x v="4"/>
    <x v="1"/>
    <x v="0"/>
    <x v="762"/>
    <x v="797"/>
    <x v="8"/>
    <s v="Y"/>
    <s v="No"/>
    <x v="12"/>
    <x v="0"/>
    <n v="4"/>
    <x v="0"/>
    <n v="0"/>
    <x v="33"/>
    <n v="4"/>
    <x v="1"/>
    <x v="3"/>
    <x v="8"/>
    <x v="5"/>
    <x v="2"/>
  </r>
  <r>
    <x v="8"/>
    <x v="1"/>
    <s v="Travel_Rarely"/>
    <n v="770"/>
    <x v="0"/>
    <n v="10"/>
    <n v="4"/>
    <s v="Marketing"/>
    <n v="1"/>
    <n v="1119"/>
    <x v="1"/>
    <x v="1"/>
    <x v="32"/>
    <x v="1"/>
    <x v="2"/>
    <x v="0"/>
    <x v="2"/>
    <x v="2"/>
    <x v="763"/>
    <x v="798"/>
    <x v="4"/>
    <s v="Y"/>
    <s v="Yes"/>
    <x v="9"/>
    <x v="0"/>
    <n v="2"/>
    <x v="0"/>
    <n v="2"/>
    <x v="15"/>
    <n v="2"/>
    <x v="1"/>
    <x v="3"/>
    <x v="1"/>
    <x v="3"/>
    <x v="1"/>
  </r>
  <r>
    <x v="11"/>
    <x v="1"/>
    <s v="Travel_Rarely"/>
    <n v="1107"/>
    <x v="1"/>
    <n v="28"/>
    <n v="4"/>
    <s v="Life Sciences"/>
    <n v="1"/>
    <n v="1120"/>
    <x v="1"/>
    <x v="0"/>
    <x v="12"/>
    <x v="0"/>
    <x v="1"/>
    <x v="1"/>
    <x v="0"/>
    <x v="2"/>
    <x v="764"/>
    <x v="799"/>
    <x v="5"/>
    <s v="Y"/>
    <s v="No"/>
    <x v="6"/>
    <x v="1"/>
    <n v="1"/>
    <x v="0"/>
    <n v="1"/>
    <x v="27"/>
    <n v="1"/>
    <x v="1"/>
    <x v="5"/>
    <x v="4"/>
    <x v="1"/>
    <x v="1"/>
  </r>
  <r>
    <x v="14"/>
    <x v="1"/>
    <s v="Travel_Rarely"/>
    <n v="950"/>
    <x v="1"/>
    <n v="3"/>
    <n v="3"/>
    <s v="Medical"/>
    <n v="1"/>
    <n v="1121"/>
    <x v="2"/>
    <x v="0"/>
    <x v="12"/>
    <x v="0"/>
    <x v="2"/>
    <x v="3"/>
    <x v="1"/>
    <x v="2"/>
    <x v="765"/>
    <x v="800"/>
    <x v="4"/>
    <s v="Y"/>
    <s v="No"/>
    <x v="8"/>
    <x v="0"/>
    <n v="2"/>
    <x v="0"/>
    <n v="3"/>
    <x v="1"/>
    <n v="3"/>
    <x v="2"/>
    <x v="7"/>
    <x v="1"/>
    <x v="1"/>
    <x v="1"/>
  </r>
  <r>
    <x v="21"/>
    <x v="1"/>
    <s v="Travel_Rarely"/>
    <n v="406"/>
    <x v="0"/>
    <n v="3"/>
    <n v="1"/>
    <s v="Marketing"/>
    <n v="1"/>
    <n v="1124"/>
    <x v="3"/>
    <x v="1"/>
    <x v="48"/>
    <x v="0"/>
    <x v="3"/>
    <x v="5"/>
    <x v="2"/>
    <x v="1"/>
    <x v="766"/>
    <x v="801"/>
    <x v="9"/>
    <s v="Y"/>
    <s v="No"/>
    <x v="3"/>
    <x v="0"/>
    <n v="4"/>
    <x v="0"/>
    <n v="1"/>
    <x v="18"/>
    <n v="3"/>
    <x v="1"/>
    <x v="12"/>
    <x v="5"/>
    <x v="5"/>
    <x v="12"/>
  </r>
  <r>
    <x v="8"/>
    <x v="1"/>
    <s v="Travel_Rarely"/>
    <n v="130"/>
    <x v="0"/>
    <n v="2"/>
    <n v="2"/>
    <s v="Marketing"/>
    <n v="1"/>
    <n v="1125"/>
    <x v="2"/>
    <x v="1"/>
    <x v="47"/>
    <x v="0"/>
    <x v="2"/>
    <x v="0"/>
    <x v="1"/>
    <x v="0"/>
    <x v="767"/>
    <x v="802"/>
    <x v="8"/>
    <s v="Y"/>
    <s v="No"/>
    <x v="10"/>
    <x v="0"/>
    <n v="3"/>
    <x v="0"/>
    <n v="0"/>
    <x v="1"/>
    <n v="2"/>
    <x v="1"/>
    <x v="6"/>
    <x v="2"/>
    <x v="0"/>
    <x v="2"/>
  </r>
  <r>
    <x v="23"/>
    <x v="1"/>
    <s v="Travel_Frequently"/>
    <n v="1082"/>
    <x v="1"/>
    <n v="27"/>
    <n v="3"/>
    <s v="Life Sciences"/>
    <n v="1"/>
    <n v="1126"/>
    <x v="1"/>
    <x v="0"/>
    <x v="21"/>
    <x v="0"/>
    <x v="2"/>
    <x v="3"/>
    <x v="3"/>
    <x v="1"/>
    <x v="768"/>
    <x v="803"/>
    <x v="0"/>
    <s v="Y"/>
    <s v="No"/>
    <x v="0"/>
    <x v="0"/>
    <n v="3"/>
    <x v="0"/>
    <n v="1"/>
    <x v="33"/>
    <n v="1"/>
    <x v="1"/>
    <x v="3"/>
    <x v="1"/>
    <x v="0"/>
    <x v="9"/>
  </r>
  <r>
    <x v="22"/>
    <x v="0"/>
    <s v="Travel_Frequently"/>
    <n v="203"/>
    <x v="1"/>
    <n v="2"/>
    <n v="3"/>
    <s v="Life Sciences"/>
    <n v="1"/>
    <n v="1127"/>
    <x v="3"/>
    <x v="1"/>
    <x v="9"/>
    <x v="0"/>
    <x v="3"/>
    <x v="4"/>
    <x v="0"/>
    <x v="2"/>
    <x v="769"/>
    <x v="804"/>
    <x v="8"/>
    <s v="Y"/>
    <s v="No"/>
    <x v="0"/>
    <x v="0"/>
    <n v="4"/>
    <x v="0"/>
    <n v="3"/>
    <x v="24"/>
    <n v="4"/>
    <x v="1"/>
    <x v="29"/>
    <x v="1"/>
    <x v="14"/>
    <x v="0"/>
  </r>
  <r>
    <x v="32"/>
    <x v="1"/>
    <s v="Travel_Rarely"/>
    <n v="1308"/>
    <x v="1"/>
    <n v="14"/>
    <n v="3"/>
    <s v="Medical"/>
    <n v="1"/>
    <n v="1128"/>
    <x v="1"/>
    <x v="1"/>
    <x v="8"/>
    <x v="1"/>
    <x v="4"/>
    <x v="7"/>
    <x v="2"/>
    <x v="0"/>
    <x v="770"/>
    <x v="805"/>
    <x v="1"/>
    <s v="Y"/>
    <s v="No"/>
    <x v="9"/>
    <x v="0"/>
    <n v="1"/>
    <x v="0"/>
    <n v="0"/>
    <x v="24"/>
    <n v="2"/>
    <x v="3"/>
    <x v="23"/>
    <x v="1"/>
    <x v="5"/>
    <x v="12"/>
  </r>
  <r>
    <x v="18"/>
    <x v="1"/>
    <s v="Travel_Rarely"/>
    <n v="984"/>
    <x v="1"/>
    <n v="1"/>
    <n v="1"/>
    <s v="Technical Degree"/>
    <n v="1"/>
    <n v="1131"/>
    <x v="2"/>
    <x v="0"/>
    <x v="49"/>
    <x v="1"/>
    <x v="1"/>
    <x v="1"/>
    <x v="1"/>
    <x v="0"/>
    <x v="266"/>
    <x v="164"/>
    <x v="1"/>
    <s v="Y"/>
    <s v="Yes"/>
    <x v="0"/>
    <x v="0"/>
    <n v="3"/>
    <x v="0"/>
    <n v="0"/>
    <x v="17"/>
    <n v="6"/>
    <x v="3"/>
    <x v="4"/>
    <x v="3"/>
    <x v="3"/>
    <x v="3"/>
  </r>
  <r>
    <x v="22"/>
    <x v="1"/>
    <s v="Non-Travel"/>
    <n v="439"/>
    <x v="1"/>
    <n v="9"/>
    <n v="3"/>
    <s v="Life Sciences"/>
    <n v="1"/>
    <n v="1132"/>
    <x v="1"/>
    <x v="1"/>
    <x v="49"/>
    <x v="0"/>
    <x v="0"/>
    <x v="2"/>
    <x v="1"/>
    <x v="0"/>
    <x v="771"/>
    <x v="806"/>
    <x v="3"/>
    <s v="Y"/>
    <s v="No"/>
    <x v="2"/>
    <x v="0"/>
    <n v="3"/>
    <x v="0"/>
    <n v="0"/>
    <x v="15"/>
    <n v="2"/>
    <x v="2"/>
    <x v="8"/>
    <x v="0"/>
    <x v="0"/>
    <x v="6"/>
  </r>
  <r>
    <x v="9"/>
    <x v="1"/>
    <s v="Non-Travel"/>
    <n v="217"/>
    <x v="1"/>
    <n v="18"/>
    <n v="4"/>
    <s v="Life Sciences"/>
    <n v="1"/>
    <n v="1133"/>
    <x v="3"/>
    <x v="1"/>
    <x v="17"/>
    <x v="0"/>
    <x v="0"/>
    <x v="3"/>
    <x v="0"/>
    <x v="0"/>
    <x v="772"/>
    <x v="807"/>
    <x v="7"/>
    <s v="Y"/>
    <s v="No"/>
    <x v="5"/>
    <x v="1"/>
    <n v="1"/>
    <x v="0"/>
    <n v="0"/>
    <x v="33"/>
    <n v="0"/>
    <x v="1"/>
    <x v="19"/>
    <x v="5"/>
    <x v="0"/>
    <x v="12"/>
  </r>
  <r>
    <x v="12"/>
    <x v="1"/>
    <s v="Travel_Frequently"/>
    <n v="793"/>
    <x v="0"/>
    <n v="20"/>
    <n v="3"/>
    <s v="Life Sciences"/>
    <n v="1"/>
    <n v="1135"/>
    <x v="1"/>
    <x v="1"/>
    <x v="7"/>
    <x v="2"/>
    <x v="1"/>
    <x v="6"/>
    <x v="0"/>
    <x v="1"/>
    <x v="773"/>
    <x v="808"/>
    <x v="4"/>
    <s v="Y"/>
    <s v="No"/>
    <x v="3"/>
    <x v="0"/>
    <n v="1"/>
    <x v="0"/>
    <n v="1"/>
    <x v="8"/>
    <n v="4"/>
    <x v="1"/>
    <x v="4"/>
    <x v="3"/>
    <x v="3"/>
    <x v="3"/>
  </r>
  <r>
    <x v="14"/>
    <x v="1"/>
    <s v="Travel_Rarely"/>
    <n v="1451"/>
    <x v="1"/>
    <n v="2"/>
    <n v="1"/>
    <s v="Life Sciences"/>
    <n v="1"/>
    <n v="1136"/>
    <x v="3"/>
    <x v="1"/>
    <x v="7"/>
    <x v="1"/>
    <x v="1"/>
    <x v="1"/>
    <x v="1"/>
    <x v="1"/>
    <x v="774"/>
    <x v="809"/>
    <x v="4"/>
    <s v="Y"/>
    <s v="No"/>
    <x v="8"/>
    <x v="0"/>
    <n v="1"/>
    <x v="0"/>
    <n v="0"/>
    <x v="3"/>
    <n v="2"/>
    <x v="0"/>
    <x v="8"/>
    <x v="7"/>
    <x v="0"/>
    <x v="10"/>
  </r>
  <r>
    <x v="10"/>
    <x v="1"/>
    <s v="Travel_Frequently"/>
    <n v="1182"/>
    <x v="0"/>
    <n v="11"/>
    <n v="2"/>
    <s v="Marketing"/>
    <n v="1"/>
    <n v="1137"/>
    <x v="2"/>
    <x v="1"/>
    <x v="60"/>
    <x v="0"/>
    <x v="0"/>
    <x v="0"/>
    <x v="0"/>
    <x v="2"/>
    <x v="775"/>
    <x v="810"/>
    <x v="1"/>
    <s v="Y"/>
    <s v="No"/>
    <x v="0"/>
    <x v="0"/>
    <n v="4"/>
    <x v="0"/>
    <n v="1"/>
    <x v="7"/>
    <n v="3"/>
    <x v="1"/>
    <x v="8"/>
    <x v="3"/>
    <x v="0"/>
    <x v="3"/>
  </r>
  <r>
    <x v="1"/>
    <x v="1"/>
    <s v="Travel_Rarely"/>
    <n v="174"/>
    <x v="0"/>
    <n v="8"/>
    <n v="4"/>
    <s v="Technical Degree"/>
    <n v="1"/>
    <n v="1138"/>
    <x v="2"/>
    <x v="1"/>
    <x v="3"/>
    <x v="1"/>
    <x v="3"/>
    <x v="0"/>
    <x v="1"/>
    <x v="1"/>
    <x v="776"/>
    <x v="811"/>
    <x v="2"/>
    <s v="Y"/>
    <s v="No"/>
    <x v="8"/>
    <x v="0"/>
    <n v="2"/>
    <x v="0"/>
    <n v="1"/>
    <x v="14"/>
    <n v="3"/>
    <x v="1"/>
    <x v="7"/>
    <x v="6"/>
    <x v="3"/>
    <x v="6"/>
  </r>
  <r>
    <x v="13"/>
    <x v="1"/>
    <s v="Travel_Frequently"/>
    <n v="1003"/>
    <x v="1"/>
    <n v="2"/>
    <n v="2"/>
    <s v="Life Sciences"/>
    <n v="1"/>
    <n v="1140"/>
    <x v="2"/>
    <x v="1"/>
    <x v="41"/>
    <x v="0"/>
    <x v="0"/>
    <x v="3"/>
    <x v="2"/>
    <x v="0"/>
    <x v="777"/>
    <x v="812"/>
    <x v="7"/>
    <s v="Y"/>
    <s v="No"/>
    <x v="0"/>
    <x v="0"/>
    <n v="4"/>
    <x v="0"/>
    <n v="0"/>
    <x v="7"/>
    <n v="3"/>
    <x v="2"/>
    <x v="11"/>
    <x v="3"/>
    <x v="0"/>
    <x v="3"/>
  </r>
  <r>
    <x v="11"/>
    <x v="1"/>
    <s v="Travel_Frequently"/>
    <n v="490"/>
    <x v="1"/>
    <n v="10"/>
    <n v="3"/>
    <s v="Life Sciences"/>
    <n v="1"/>
    <n v="1143"/>
    <x v="2"/>
    <x v="0"/>
    <x v="1"/>
    <x v="0"/>
    <x v="1"/>
    <x v="1"/>
    <x v="1"/>
    <x v="2"/>
    <x v="778"/>
    <x v="813"/>
    <x v="4"/>
    <s v="Y"/>
    <s v="No"/>
    <x v="9"/>
    <x v="0"/>
    <n v="4"/>
    <x v="0"/>
    <n v="2"/>
    <x v="0"/>
    <n v="2"/>
    <x v="2"/>
    <x v="5"/>
    <x v="4"/>
    <x v="1"/>
    <x v="9"/>
  </r>
  <r>
    <x v="19"/>
    <x v="1"/>
    <s v="Travel_Rarely"/>
    <n v="188"/>
    <x v="1"/>
    <n v="29"/>
    <n v="3"/>
    <s v="Medical"/>
    <n v="1"/>
    <n v="1148"/>
    <x v="0"/>
    <x v="1"/>
    <x v="3"/>
    <x v="3"/>
    <x v="0"/>
    <x v="2"/>
    <x v="0"/>
    <x v="0"/>
    <x v="779"/>
    <x v="363"/>
    <x v="5"/>
    <s v="Y"/>
    <s v="No"/>
    <x v="12"/>
    <x v="0"/>
    <n v="1"/>
    <x v="0"/>
    <n v="0"/>
    <x v="28"/>
    <n v="3"/>
    <x v="1"/>
    <x v="6"/>
    <x v="2"/>
    <x v="0"/>
    <x v="2"/>
  </r>
  <r>
    <x v="11"/>
    <x v="1"/>
    <s v="Travel_Rarely"/>
    <n v="718"/>
    <x v="1"/>
    <n v="8"/>
    <n v="1"/>
    <s v="Medical"/>
    <n v="1"/>
    <n v="1150"/>
    <x v="0"/>
    <x v="1"/>
    <x v="5"/>
    <x v="1"/>
    <x v="0"/>
    <x v="3"/>
    <x v="0"/>
    <x v="1"/>
    <x v="780"/>
    <x v="814"/>
    <x v="1"/>
    <s v="Y"/>
    <s v="Yes"/>
    <x v="2"/>
    <x v="0"/>
    <n v="3"/>
    <x v="0"/>
    <n v="1"/>
    <x v="1"/>
    <n v="2"/>
    <x v="2"/>
    <x v="1"/>
    <x v="1"/>
    <x v="1"/>
    <x v="3"/>
  </r>
  <r>
    <x v="8"/>
    <x v="1"/>
    <s v="Travel_Rarely"/>
    <n v="433"/>
    <x v="2"/>
    <n v="1"/>
    <n v="3"/>
    <s v="Human Resources"/>
    <n v="1"/>
    <n v="1152"/>
    <x v="1"/>
    <x v="1"/>
    <x v="31"/>
    <x v="2"/>
    <x v="1"/>
    <x v="8"/>
    <x v="2"/>
    <x v="1"/>
    <x v="781"/>
    <x v="815"/>
    <x v="1"/>
    <s v="Y"/>
    <s v="No"/>
    <x v="4"/>
    <x v="0"/>
    <n v="4"/>
    <x v="0"/>
    <n v="1"/>
    <x v="2"/>
    <n v="2"/>
    <x v="3"/>
    <x v="5"/>
    <x v="8"/>
    <x v="8"/>
    <x v="2"/>
  </r>
  <r>
    <x v="14"/>
    <x v="1"/>
    <s v="Travel_Frequently"/>
    <n v="773"/>
    <x v="1"/>
    <n v="6"/>
    <n v="3"/>
    <s v="Life Sciences"/>
    <n v="1"/>
    <n v="1154"/>
    <x v="1"/>
    <x v="1"/>
    <x v="56"/>
    <x v="1"/>
    <x v="1"/>
    <x v="1"/>
    <x v="2"/>
    <x v="2"/>
    <x v="68"/>
    <x v="816"/>
    <x v="1"/>
    <s v="Y"/>
    <s v="Yes"/>
    <x v="9"/>
    <x v="0"/>
    <n v="4"/>
    <x v="0"/>
    <n v="1"/>
    <x v="8"/>
    <n v="2"/>
    <x v="1"/>
    <x v="11"/>
    <x v="10"/>
    <x v="0"/>
    <x v="3"/>
  </r>
  <r>
    <x v="41"/>
    <x v="0"/>
    <s v="Non-Travel"/>
    <n v="247"/>
    <x v="1"/>
    <n v="8"/>
    <n v="1"/>
    <s v="Medical"/>
    <n v="1"/>
    <n v="1156"/>
    <x v="1"/>
    <x v="1"/>
    <x v="15"/>
    <x v="0"/>
    <x v="1"/>
    <x v="2"/>
    <x v="2"/>
    <x v="0"/>
    <x v="782"/>
    <x v="817"/>
    <x v="1"/>
    <s v="Y"/>
    <s v="No"/>
    <x v="3"/>
    <x v="0"/>
    <n v="4"/>
    <x v="0"/>
    <n v="0"/>
    <x v="11"/>
    <n v="0"/>
    <x v="1"/>
    <x v="2"/>
    <x v="2"/>
    <x v="0"/>
    <x v="2"/>
  </r>
  <r>
    <x v="3"/>
    <x v="0"/>
    <s v="Travel_Rarely"/>
    <n v="603"/>
    <x v="0"/>
    <n v="9"/>
    <n v="4"/>
    <s v="Marketing"/>
    <n v="1"/>
    <n v="1157"/>
    <x v="3"/>
    <x v="0"/>
    <x v="57"/>
    <x v="0"/>
    <x v="0"/>
    <x v="0"/>
    <x v="3"/>
    <x v="0"/>
    <x v="783"/>
    <x v="818"/>
    <x v="4"/>
    <s v="Y"/>
    <s v="Yes"/>
    <x v="8"/>
    <x v="0"/>
    <n v="1"/>
    <x v="0"/>
    <n v="0"/>
    <x v="3"/>
    <n v="3"/>
    <x v="1"/>
    <x v="8"/>
    <x v="3"/>
    <x v="0"/>
    <x v="6"/>
  </r>
  <r>
    <x v="0"/>
    <x v="1"/>
    <s v="Travel_Rarely"/>
    <n v="167"/>
    <x v="1"/>
    <n v="12"/>
    <n v="4"/>
    <s v="Life Sciences"/>
    <n v="1"/>
    <n v="1158"/>
    <x v="0"/>
    <x v="1"/>
    <x v="55"/>
    <x v="0"/>
    <x v="1"/>
    <x v="2"/>
    <x v="0"/>
    <x v="1"/>
    <x v="784"/>
    <x v="819"/>
    <x v="9"/>
    <s v="Y"/>
    <s v="Yes"/>
    <x v="0"/>
    <x v="0"/>
    <n v="1"/>
    <x v="0"/>
    <n v="1"/>
    <x v="3"/>
    <n v="4"/>
    <x v="1"/>
    <x v="6"/>
    <x v="2"/>
    <x v="0"/>
    <x v="2"/>
  </r>
  <r>
    <x v="12"/>
    <x v="0"/>
    <s v="Travel_Frequently"/>
    <n v="874"/>
    <x v="1"/>
    <n v="15"/>
    <n v="3"/>
    <s v="Medical"/>
    <n v="1"/>
    <n v="1160"/>
    <x v="1"/>
    <x v="1"/>
    <x v="23"/>
    <x v="0"/>
    <x v="1"/>
    <x v="2"/>
    <x v="2"/>
    <x v="1"/>
    <x v="353"/>
    <x v="820"/>
    <x v="1"/>
    <s v="Y"/>
    <s v="No"/>
    <x v="3"/>
    <x v="0"/>
    <n v="3"/>
    <x v="0"/>
    <n v="1"/>
    <x v="17"/>
    <n v="5"/>
    <x v="2"/>
    <x v="4"/>
    <x v="3"/>
    <x v="3"/>
    <x v="3"/>
  </r>
  <r>
    <x v="2"/>
    <x v="1"/>
    <s v="Travel_Rarely"/>
    <n v="367"/>
    <x v="1"/>
    <n v="25"/>
    <n v="2"/>
    <s v="Medical"/>
    <n v="1"/>
    <n v="1161"/>
    <x v="1"/>
    <x v="0"/>
    <x v="48"/>
    <x v="1"/>
    <x v="0"/>
    <x v="4"/>
    <x v="0"/>
    <x v="2"/>
    <x v="785"/>
    <x v="821"/>
    <x v="8"/>
    <s v="Y"/>
    <s v="No"/>
    <x v="4"/>
    <x v="0"/>
    <n v="3"/>
    <x v="0"/>
    <n v="2"/>
    <x v="15"/>
    <n v="2"/>
    <x v="1"/>
    <x v="0"/>
    <x v="3"/>
    <x v="1"/>
    <x v="6"/>
  </r>
  <r>
    <x v="4"/>
    <x v="1"/>
    <s v="Travel_Rarely"/>
    <n v="199"/>
    <x v="1"/>
    <n v="6"/>
    <n v="3"/>
    <s v="Life Sciences"/>
    <n v="1"/>
    <n v="1162"/>
    <x v="2"/>
    <x v="1"/>
    <x v="46"/>
    <x v="1"/>
    <x v="1"/>
    <x v="1"/>
    <x v="2"/>
    <x v="1"/>
    <x v="786"/>
    <x v="822"/>
    <x v="1"/>
    <s v="Y"/>
    <s v="No"/>
    <x v="4"/>
    <x v="0"/>
    <n v="3"/>
    <x v="0"/>
    <n v="1"/>
    <x v="21"/>
    <n v="0"/>
    <x v="1"/>
    <x v="9"/>
    <x v="3"/>
    <x v="3"/>
    <x v="3"/>
  </r>
  <r>
    <x v="13"/>
    <x v="1"/>
    <s v="Travel_Rarely"/>
    <n v="1400"/>
    <x v="0"/>
    <n v="9"/>
    <n v="1"/>
    <s v="Life Sciences"/>
    <n v="1"/>
    <n v="1163"/>
    <x v="0"/>
    <x v="0"/>
    <x v="49"/>
    <x v="0"/>
    <x v="0"/>
    <x v="0"/>
    <x v="2"/>
    <x v="1"/>
    <x v="787"/>
    <x v="823"/>
    <x v="1"/>
    <s v="Y"/>
    <s v="No"/>
    <x v="5"/>
    <x v="1"/>
    <n v="1"/>
    <x v="0"/>
    <n v="0"/>
    <x v="3"/>
    <n v="3"/>
    <x v="2"/>
    <x v="0"/>
    <x v="4"/>
    <x v="1"/>
    <x v="6"/>
  </r>
  <r>
    <x v="10"/>
    <x v="1"/>
    <s v="Travel_Rarely"/>
    <n v="528"/>
    <x v="2"/>
    <n v="8"/>
    <n v="4"/>
    <s v="Technical Degree"/>
    <n v="1"/>
    <n v="1164"/>
    <x v="1"/>
    <x v="1"/>
    <x v="54"/>
    <x v="0"/>
    <x v="1"/>
    <x v="8"/>
    <x v="2"/>
    <x v="0"/>
    <x v="788"/>
    <x v="824"/>
    <x v="1"/>
    <s v="Y"/>
    <s v="No"/>
    <x v="8"/>
    <x v="0"/>
    <n v="2"/>
    <x v="0"/>
    <n v="0"/>
    <x v="3"/>
    <n v="2"/>
    <x v="0"/>
    <x v="8"/>
    <x v="0"/>
    <x v="1"/>
    <x v="10"/>
  </r>
  <r>
    <x v="11"/>
    <x v="0"/>
    <s v="Travel_Rarely"/>
    <n v="408"/>
    <x v="0"/>
    <n v="23"/>
    <n v="1"/>
    <s v="Life Sciences"/>
    <n v="1"/>
    <n v="1165"/>
    <x v="2"/>
    <x v="0"/>
    <x v="18"/>
    <x v="1"/>
    <x v="2"/>
    <x v="0"/>
    <x v="3"/>
    <x v="1"/>
    <x v="789"/>
    <x v="146"/>
    <x v="1"/>
    <s v="Y"/>
    <s v="No"/>
    <x v="4"/>
    <x v="0"/>
    <n v="1"/>
    <x v="0"/>
    <n v="1"/>
    <x v="27"/>
    <n v="3"/>
    <x v="0"/>
    <x v="19"/>
    <x v="6"/>
    <x v="2"/>
    <x v="13"/>
  </r>
  <r>
    <x v="32"/>
    <x v="1"/>
    <s v="Travel_Frequently"/>
    <n v="593"/>
    <x v="1"/>
    <n v="9"/>
    <n v="4"/>
    <s v="Medical"/>
    <n v="1"/>
    <n v="1166"/>
    <x v="0"/>
    <x v="0"/>
    <x v="64"/>
    <x v="0"/>
    <x v="2"/>
    <x v="7"/>
    <x v="2"/>
    <x v="0"/>
    <x v="790"/>
    <x v="825"/>
    <x v="3"/>
    <s v="Y"/>
    <s v="No"/>
    <x v="8"/>
    <x v="0"/>
    <n v="3"/>
    <x v="0"/>
    <n v="0"/>
    <x v="26"/>
    <n v="3"/>
    <x v="2"/>
    <x v="29"/>
    <x v="1"/>
    <x v="3"/>
    <x v="15"/>
  </r>
  <r>
    <x v="19"/>
    <x v="0"/>
    <s v="Travel_Frequently"/>
    <n v="481"/>
    <x v="0"/>
    <n v="12"/>
    <n v="3"/>
    <s v="Life Sciences"/>
    <n v="1"/>
    <n v="1167"/>
    <x v="1"/>
    <x v="1"/>
    <x v="8"/>
    <x v="0"/>
    <x v="3"/>
    <x v="0"/>
    <x v="3"/>
    <x v="0"/>
    <x v="791"/>
    <x v="826"/>
    <x v="4"/>
    <s v="Y"/>
    <s v="Yes"/>
    <x v="3"/>
    <x v="0"/>
    <n v="2"/>
    <x v="0"/>
    <n v="0"/>
    <x v="14"/>
    <n v="2"/>
    <x v="2"/>
    <x v="17"/>
    <x v="5"/>
    <x v="11"/>
    <x v="17"/>
  </r>
  <r>
    <x v="19"/>
    <x v="1"/>
    <s v="Travel_Rarely"/>
    <n v="647"/>
    <x v="0"/>
    <n v="4"/>
    <n v="4"/>
    <s v="Marketing"/>
    <n v="1"/>
    <n v="1171"/>
    <x v="0"/>
    <x v="1"/>
    <x v="18"/>
    <x v="0"/>
    <x v="0"/>
    <x v="0"/>
    <x v="3"/>
    <x v="0"/>
    <x v="792"/>
    <x v="827"/>
    <x v="8"/>
    <s v="Y"/>
    <s v="No"/>
    <x v="4"/>
    <x v="0"/>
    <n v="4"/>
    <x v="0"/>
    <n v="0"/>
    <x v="15"/>
    <n v="3"/>
    <x v="3"/>
    <x v="0"/>
    <x v="0"/>
    <x v="1"/>
    <x v="0"/>
  </r>
  <r>
    <x v="10"/>
    <x v="1"/>
    <s v="Travel_Rarely"/>
    <n v="982"/>
    <x v="1"/>
    <n v="1"/>
    <n v="4"/>
    <s v="Medical"/>
    <n v="1"/>
    <n v="1172"/>
    <x v="2"/>
    <x v="1"/>
    <x v="22"/>
    <x v="1"/>
    <x v="1"/>
    <x v="2"/>
    <x v="2"/>
    <x v="1"/>
    <x v="384"/>
    <x v="828"/>
    <x v="2"/>
    <s v="Y"/>
    <s v="No"/>
    <x v="3"/>
    <x v="0"/>
    <n v="2"/>
    <x v="0"/>
    <n v="1"/>
    <x v="1"/>
    <n v="2"/>
    <x v="1"/>
    <x v="3"/>
    <x v="2"/>
    <x v="1"/>
    <x v="1"/>
  </r>
  <r>
    <x v="17"/>
    <x v="1"/>
    <s v="Travel_Rarely"/>
    <n v="477"/>
    <x v="1"/>
    <n v="24"/>
    <n v="3"/>
    <s v="Medical"/>
    <n v="1"/>
    <n v="1173"/>
    <x v="2"/>
    <x v="1"/>
    <x v="10"/>
    <x v="0"/>
    <x v="1"/>
    <x v="2"/>
    <x v="1"/>
    <x v="0"/>
    <x v="793"/>
    <x v="829"/>
    <x v="0"/>
    <s v="Y"/>
    <s v="No"/>
    <x v="6"/>
    <x v="1"/>
    <n v="4"/>
    <x v="0"/>
    <n v="0"/>
    <x v="3"/>
    <n v="2"/>
    <x v="1"/>
    <x v="9"/>
    <x v="7"/>
    <x v="1"/>
    <x v="3"/>
  </r>
  <r>
    <x v="14"/>
    <x v="0"/>
    <s v="Travel_Rarely"/>
    <n v="1485"/>
    <x v="1"/>
    <n v="12"/>
    <n v="1"/>
    <s v="Life Sciences"/>
    <n v="1"/>
    <n v="1175"/>
    <x v="1"/>
    <x v="0"/>
    <x v="5"/>
    <x v="0"/>
    <x v="1"/>
    <x v="2"/>
    <x v="0"/>
    <x v="1"/>
    <x v="605"/>
    <x v="830"/>
    <x v="1"/>
    <s v="Y"/>
    <s v="Yes"/>
    <x v="0"/>
    <x v="0"/>
    <n v="4"/>
    <x v="0"/>
    <n v="0"/>
    <x v="5"/>
    <n v="4"/>
    <x v="2"/>
    <x v="6"/>
    <x v="10"/>
    <x v="0"/>
    <x v="2"/>
  </r>
  <r>
    <x v="25"/>
    <x v="1"/>
    <s v="Travel_Rarely"/>
    <n v="1384"/>
    <x v="1"/>
    <n v="3"/>
    <n v="4"/>
    <s v="Medical"/>
    <n v="1"/>
    <n v="1177"/>
    <x v="3"/>
    <x v="1"/>
    <x v="19"/>
    <x v="2"/>
    <x v="1"/>
    <x v="2"/>
    <x v="0"/>
    <x v="1"/>
    <x v="794"/>
    <x v="831"/>
    <x v="1"/>
    <s v="Y"/>
    <s v="No"/>
    <x v="6"/>
    <x v="1"/>
    <n v="2"/>
    <x v="0"/>
    <n v="1"/>
    <x v="0"/>
    <n v="2"/>
    <x v="1"/>
    <x v="3"/>
    <x v="1"/>
    <x v="0"/>
    <x v="1"/>
  </r>
  <r>
    <x v="7"/>
    <x v="1"/>
    <s v="Travel_Rarely"/>
    <n v="852"/>
    <x v="0"/>
    <n v="10"/>
    <n v="3"/>
    <s v="Marketing"/>
    <n v="1"/>
    <n v="1179"/>
    <x v="1"/>
    <x v="1"/>
    <x v="23"/>
    <x v="1"/>
    <x v="0"/>
    <x v="0"/>
    <x v="2"/>
    <x v="1"/>
    <x v="795"/>
    <x v="832"/>
    <x v="1"/>
    <s v="Y"/>
    <s v="No"/>
    <x v="11"/>
    <x v="0"/>
    <n v="1"/>
    <x v="0"/>
    <n v="1"/>
    <x v="1"/>
    <n v="3"/>
    <x v="1"/>
    <x v="1"/>
    <x v="7"/>
    <x v="1"/>
    <x v="10"/>
  </r>
  <r>
    <x v="32"/>
    <x v="1"/>
    <s v="Travel_Frequently"/>
    <n v="902"/>
    <x v="1"/>
    <n v="26"/>
    <n v="2"/>
    <s v="Medical"/>
    <n v="1"/>
    <n v="1180"/>
    <x v="1"/>
    <x v="0"/>
    <x v="2"/>
    <x v="1"/>
    <x v="0"/>
    <x v="1"/>
    <x v="0"/>
    <x v="1"/>
    <x v="796"/>
    <x v="833"/>
    <x v="9"/>
    <s v="Y"/>
    <s v="Yes"/>
    <x v="4"/>
    <x v="0"/>
    <n v="4"/>
    <x v="0"/>
    <n v="1"/>
    <x v="28"/>
    <n v="3"/>
    <x v="0"/>
    <x v="6"/>
    <x v="10"/>
    <x v="0"/>
    <x v="2"/>
  </r>
  <r>
    <x v="10"/>
    <x v="1"/>
    <s v="Travel_Rarely"/>
    <n v="819"/>
    <x v="1"/>
    <n v="2"/>
    <n v="3"/>
    <s v="Life Sciences"/>
    <n v="1"/>
    <n v="1182"/>
    <x v="1"/>
    <x v="1"/>
    <x v="8"/>
    <x v="1"/>
    <x v="2"/>
    <x v="3"/>
    <x v="1"/>
    <x v="2"/>
    <x v="797"/>
    <x v="834"/>
    <x v="7"/>
    <s v="Y"/>
    <s v="No"/>
    <x v="11"/>
    <x v="0"/>
    <n v="2"/>
    <x v="0"/>
    <n v="1"/>
    <x v="20"/>
    <n v="2"/>
    <x v="3"/>
    <x v="5"/>
    <x v="1"/>
    <x v="7"/>
    <x v="10"/>
  </r>
  <r>
    <x v="13"/>
    <x v="1"/>
    <s v="Travel_Frequently"/>
    <n v="669"/>
    <x v="1"/>
    <n v="1"/>
    <n v="3"/>
    <s v="Medical"/>
    <n v="1"/>
    <n v="1184"/>
    <x v="2"/>
    <x v="1"/>
    <x v="28"/>
    <x v="1"/>
    <x v="0"/>
    <x v="4"/>
    <x v="3"/>
    <x v="0"/>
    <x v="798"/>
    <x v="835"/>
    <x v="4"/>
    <s v="Y"/>
    <s v="No"/>
    <x v="5"/>
    <x v="1"/>
    <n v="3"/>
    <x v="0"/>
    <n v="0"/>
    <x v="19"/>
    <n v="3"/>
    <x v="1"/>
    <x v="20"/>
    <x v="5"/>
    <x v="5"/>
    <x v="12"/>
  </r>
  <r>
    <x v="10"/>
    <x v="1"/>
    <s v="Travel_Frequently"/>
    <n v="636"/>
    <x v="1"/>
    <n v="4"/>
    <n v="4"/>
    <s v="Other"/>
    <n v="1"/>
    <n v="1185"/>
    <x v="2"/>
    <x v="1"/>
    <x v="35"/>
    <x v="1"/>
    <x v="1"/>
    <x v="2"/>
    <x v="0"/>
    <x v="1"/>
    <x v="799"/>
    <x v="836"/>
    <x v="1"/>
    <s v="Y"/>
    <s v="No"/>
    <x v="4"/>
    <x v="0"/>
    <n v="2"/>
    <x v="0"/>
    <n v="1"/>
    <x v="17"/>
    <n v="2"/>
    <x v="3"/>
    <x v="4"/>
    <x v="3"/>
    <x v="3"/>
    <x v="3"/>
  </r>
  <r>
    <x v="23"/>
    <x v="0"/>
    <s v="Travel_Rarely"/>
    <n v="1372"/>
    <x v="0"/>
    <n v="9"/>
    <n v="3"/>
    <s v="Marketing"/>
    <n v="1"/>
    <n v="1188"/>
    <x v="3"/>
    <x v="0"/>
    <x v="65"/>
    <x v="3"/>
    <x v="0"/>
    <x v="0"/>
    <x v="2"/>
    <x v="0"/>
    <x v="800"/>
    <x v="837"/>
    <x v="0"/>
    <s v="Y"/>
    <s v="No"/>
    <x v="4"/>
    <x v="0"/>
    <n v="2"/>
    <x v="0"/>
    <n v="0"/>
    <x v="2"/>
    <n v="2"/>
    <x v="2"/>
    <x v="9"/>
    <x v="7"/>
    <x v="1"/>
    <x v="6"/>
  </r>
  <r>
    <x v="5"/>
    <x v="1"/>
    <s v="Non-Travel"/>
    <n v="862"/>
    <x v="0"/>
    <n v="2"/>
    <n v="1"/>
    <s v="Life Sciences"/>
    <n v="1"/>
    <n v="1190"/>
    <x v="1"/>
    <x v="0"/>
    <x v="43"/>
    <x v="0"/>
    <x v="1"/>
    <x v="6"/>
    <x v="3"/>
    <x v="2"/>
    <x v="801"/>
    <x v="838"/>
    <x v="1"/>
    <s v="Y"/>
    <s v="No"/>
    <x v="3"/>
    <x v="0"/>
    <n v="3"/>
    <x v="0"/>
    <n v="3"/>
    <x v="5"/>
    <n v="3"/>
    <x v="1"/>
    <x v="6"/>
    <x v="2"/>
    <x v="0"/>
    <x v="2"/>
  </r>
  <r>
    <x v="29"/>
    <x v="1"/>
    <s v="Travel_Rarely"/>
    <n v="718"/>
    <x v="1"/>
    <n v="4"/>
    <n v="4"/>
    <s v="Technical Degree"/>
    <n v="1"/>
    <n v="1191"/>
    <x v="2"/>
    <x v="0"/>
    <x v="2"/>
    <x v="0"/>
    <x v="4"/>
    <x v="5"/>
    <x v="3"/>
    <x v="2"/>
    <x v="802"/>
    <x v="839"/>
    <x v="5"/>
    <s v="Y"/>
    <s v="No"/>
    <x v="4"/>
    <x v="0"/>
    <n v="4"/>
    <x v="0"/>
    <n v="1"/>
    <x v="23"/>
    <n v="2"/>
    <x v="1"/>
    <x v="8"/>
    <x v="3"/>
    <x v="5"/>
    <x v="3"/>
  </r>
  <r>
    <x v="11"/>
    <x v="1"/>
    <s v="Travel_Rarely"/>
    <n v="1401"/>
    <x v="1"/>
    <n v="6"/>
    <n v="1"/>
    <s v="Medical"/>
    <n v="1"/>
    <n v="1192"/>
    <x v="0"/>
    <x v="0"/>
    <x v="60"/>
    <x v="0"/>
    <x v="1"/>
    <x v="2"/>
    <x v="0"/>
    <x v="1"/>
    <x v="803"/>
    <x v="840"/>
    <x v="1"/>
    <s v="Y"/>
    <s v="No"/>
    <x v="4"/>
    <x v="0"/>
    <n v="1"/>
    <x v="0"/>
    <n v="1"/>
    <x v="1"/>
    <n v="5"/>
    <x v="1"/>
    <x v="1"/>
    <x v="6"/>
    <x v="0"/>
    <x v="5"/>
  </r>
  <r>
    <x v="37"/>
    <x v="1"/>
    <s v="Travel_Rarely"/>
    <n v="645"/>
    <x v="1"/>
    <n v="9"/>
    <n v="2"/>
    <s v="Life Sciences"/>
    <n v="1"/>
    <n v="1193"/>
    <x v="1"/>
    <x v="1"/>
    <x v="60"/>
    <x v="0"/>
    <x v="1"/>
    <x v="1"/>
    <x v="3"/>
    <x v="0"/>
    <x v="804"/>
    <x v="841"/>
    <x v="1"/>
    <s v="Y"/>
    <s v="No"/>
    <x v="14"/>
    <x v="1"/>
    <n v="3"/>
    <x v="0"/>
    <n v="0"/>
    <x v="5"/>
    <n v="4"/>
    <x v="1"/>
    <x v="6"/>
    <x v="10"/>
    <x v="0"/>
    <x v="2"/>
  </r>
  <r>
    <x v="28"/>
    <x v="1"/>
    <s v="Travel_Rarely"/>
    <n v="1457"/>
    <x v="1"/>
    <n v="7"/>
    <n v="3"/>
    <s v="Medical"/>
    <n v="1"/>
    <n v="1195"/>
    <x v="3"/>
    <x v="0"/>
    <x v="21"/>
    <x v="0"/>
    <x v="1"/>
    <x v="1"/>
    <x v="2"/>
    <x v="1"/>
    <x v="805"/>
    <x v="842"/>
    <x v="5"/>
    <s v="Y"/>
    <s v="Yes"/>
    <x v="12"/>
    <x v="0"/>
    <n v="3"/>
    <x v="0"/>
    <n v="1"/>
    <x v="2"/>
    <n v="2"/>
    <x v="2"/>
    <x v="11"/>
    <x v="3"/>
    <x v="0"/>
    <x v="3"/>
  </r>
  <r>
    <x v="2"/>
    <x v="1"/>
    <s v="Travel_Rarely"/>
    <n v="977"/>
    <x v="1"/>
    <n v="1"/>
    <n v="3"/>
    <s v="Life Sciences"/>
    <n v="1"/>
    <n v="1196"/>
    <x v="2"/>
    <x v="0"/>
    <x v="3"/>
    <x v="1"/>
    <x v="0"/>
    <x v="3"/>
    <x v="0"/>
    <x v="1"/>
    <x v="806"/>
    <x v="843"/>
    <x v="1"/>
    <s v="Y"/>
    <s v="No"/>
    <x v="4"/>
    <x v="0"/>
    <n v="2"/>
    <x v="0"/>
    <n v="1"/>
    <x v="19"/>
    <n v="2"/>
    <x v="2"/>
    <x v="13"/>
    <x v="6"/>
    <x v="2"/>
    <x v="7"/>
  </r>
  <r>
    <x v="35"/>
    <x v="1"/>
    <s v="Travel_Rarely"/>
    <n v="805"/>
    <x v="1"/>
    <n v="3"/>
    <n v="3"/>
    <s v="Life Sciences"/>
    <n v="1"/>
    <n v="1198"/>
    <x v="3"/>
    <x v="1"/>
    <x v="44"/>
    <x v="1"/>
    <x v="1"/>
    <x v="2"/>
    <x v="2"/>
    <x v="0"/>
    <x v="807"/>
    <x v="844"/>
    <x v="1"/>
    <s v="Y"/>
    <s v="No"/>
    <x v="3"/>
    <x v="0"/>
    <n v="1"/>
    <x v="0"/>
    <n v="0"/>
    <x v="17"/>
    <n v="2"/>
    <x v="2"/>
    <x v="4"/>
    <x v="3"/>
    <x v="1"/>
    <x v="3"/>
  </r>
  <r>
    <x v="20"/>
    <x v="0"/>
    <s v="Travel_Rarely"/>
    <n v="1097"/>
    <x v="1"/>
    <n v="10"/>
    <n v="4"/>
    <s v="Life Sciences"/>
    <n v="1"/>
    <n v="1200"/>
    <x v="1"/>
    <x v="1"/>
    <x v="16"/>
    <x v="0"/>
    <x v="1"/>
    <x v="1"/>
    <x v="2"/>
    <x v="0"/>
    <x v="808"/>
    <x v="845"/>
    <x v="1"/>
    <s v="Y"/>
    <s v="Yes"/>
    <x v="0"/>
    <x v="0"/>
    <n v="3"/>
    <x v="0"/>
    <n v="0"/>
    <x v="3"/>
    <n v="4"/>
    <x v="1"/>
    <x v="0"/>
    <x v="0"/>
    <x v="0"/>
    <x v="3"/>
  </r>
  <r>
    <x v="16"/>
    <x v="1"/>
    <s v="Travel_Rarely"/>
    <n v="1223"/>
    <x v="1"/>
    <n v="7"/>
    <n v="2"/>
    <s v="Medical"/>
    <n v="1"/>
    <n v="1201"/>
    <x v="2"/>
    <x v="0"/>
    <x v="13"/>
    <x v="0"/>
    <x v="4"/>
    <x v="5"/>
    <x v="2"/>
    <x v="2"/>
    <x v="809"/>
    <x v="846"/>
    <x v="9"/>
    <s v="Y"/>
    <s v="No"/>
    <x v="11"/>
    <x v="0"/>
    <n v="2"/>
    <x v="0"/>
    <n v="1"/>
    <x v="12"/>
    <n v="6"/>
    <x v="1"/>
    <x v="5"/>
    <x v="1"/>
    <x v="5"/>
    <x v="1"/>
  </r>
  <r>
    <x v="11"/>
    <x v="1"/>
    <s v="Travel_Rarely"/>
    <n v="942"/>
    <x v="1"/>
    <n v="15"/>
    <n v="1"/>
    <s v="Life Sciences"/>
    <n v="1"/>
    <n v="1202"/>
    <x v="0"/>
    <x v="0"/>
    <x v="68"/>
    <x v="3"/>
    <x v="1"/>
    <x v="1"/>
    <x v="0"/>
    <x v="1"/>
    <x v="810"/>
    <x v="847"/>
    <x v="4"/>
    <s v="Y"/>
    <s v="Yes"/>
    <x v="11"/>
    <x v="0"/>
    <n v="1"/>
    <x v="0"/>
    <n v="1"/>
    <x v="3"/>
    <n v="2"/>
    <x v="2"/>
    <x v="8"/>
    <x v="0"/>
    <x v="1"/>
    <x v="6"/>
  </r>
  <r>
    <x v="15"/>
    <x v="0"/>
    <s v="Travel_Frequently"/>
    <n v="1256"/>
    <x v="1"/>
    <n v="3"/>
    <n v="4"/>
    <s v="Life Sciences"/>
    <n v="1"/>
    <n v="1203"/>
    <x v="1"/>
    <x v="1"/>
    <x v="24"/>
    <x v="1"/>
    <x v="1"/>
    <x v="1"/>
    <x v="0"/>
    <x v="1"/>
    <x v="811"/>
    <x v="848"/>
    <x v="4"/>
    <s v="Y"/>
    <s v="Yes"/>
    <x v="0"/>
    <x v="0"/>
    <n v="2"/>
    <x v="0"/>
    <n v="1"/>
    <x v="5"/>
    <n v="5"/>
    <x v="1"/>
    <x v="2"/>
    <x v="2"/>
    <x v="0"/>
    <x v="2"/>
  </r>
  <r>
    <x v="21"/>
    <x v="1"/>
    <s v="Travel_Rarely"/>
    <n v="1402"/>
    <x v="0"/>
    <n v="2"/>
    <n v="3"/>
    <s v="Marketing"/>
    <n v="1"/>
    <n v="1204"/>
    <x v="1"/>
    <x v="0"/>
    <x v="68"/>
    <x v="0"/>
    <x v="3"/>
    <x v="5"/>
    <x v="3"/>
    <x v="1"/>
    <x v="812"/>
    <x v="849"/>
    <x v="0"/>
    <s v="Y"/>
    <s v="No"/>
    <x v="1"/>
    <x v="1"/>
    <n v="1"/>
    <x v="0"/>
    <n v="0"/>
    <x v="23"/>
    <n v="2"/>
    <x v="1"/>
    <x v="34"/>
    <x v="11"/>
    <x v="9"/>
    <x v="12"/>
  </r>
  <r>
    <x v="20"/>
    <x v="1"/>
    <s v="Non-Travel"/>
    <n v="111"/>
    <x v="1"/>
    <n v="17"/>
    <n v="3"/>
    <s v="Life Sciences"/>
    <n v="1"/>
    <n v="1206"/>
    <x v="2"/>
    <x v="1"/>
    <x v="69"/>
    <x v="3"/>
    <x v="1"/>
    <x v="1"/>
    <x v="2"/>
    <x v="0"/>
    <x v="813"/>
    <x v="850"/>
    <x v="7"/>
    <s v="Y"/>
    <s v="No"/>
    <x v="4"/>
    <x v="0"/>
    <n v="4"/>
    <x v="0"/>
    <n v="0"/>
    <x v="3"/>
    <n v="3"/>
    <x v="1"/>
    <x v="2"/>
    <x v="2"/>
    <x v="0"/>
    <x v="2"/>
  </r>
  <r>
    <x v="3"/>
    <x v="1"/>
    <s v="Travel_Rarely"/>
    <n v="147"/>
    <x v="2"/>
    <n v="2"/>
    <n v="3"/>
    <s v="Human Resources"/>
    <n v="1"/>
    <n v="1207"/>
    <x v="0"/>
    <x v="1"/>
    <x v="39"/>
    <x v="0"/>
    <x v="1"/>
    <x v="8"/>
    <x v="2"/>
    <x v="1"/>
    <x v="814"/>
    <x v="851"/>
    <x v="1"/>
    <s v="Y"/>
    <s v="No"/>
    <x v="4"/>
    <x v="0"/>
    <n v="4"/>
    <x v="0"/>
    <n v="1"/>
    <x v="7"/>
    <n v="2"/>
    <x v="1"/>
    <x v="8"/>
    <x v="0"/>
    <x v="1"/>
    <x v="10"/>
  </r>
  <r>
    <x v="0"/>
    <x v="0"/>
    <s v="Non-Travel"/>
    <n v="906"/>
    <x v="1"/>
    <n v="5"/>
    <n v="2"/>
    <s v="Life Sciences"/>
    <n v="1"/>
    <n v="1210"/>
    <x v="3"/>
    <x v="1"/>
    <x v="41"/>
    <x v="1"/>
    <x v="1"/>
    <x v="1"/>
    <x v="3"/>
    <x v="2"/>
    <x v="815"/>
    <x v="852"/>
    <x v="2"/>
    <s v="Y"/>
    <s v="No"/>
    <x v="8"/>
    <x v="0"/>
    <n v="1"/>
    <x v="0"/>
    <n v="1"/>
    <x v="7"/>
    <n v="2"/>
    <x v="0"/>
    <x v="6"/>
    <x v="2"/>
    <x v="0"/>
    <x v="2"/>
  </r>
  <r>
    <x v="7"/>
    <x v="1"/>
    <s v="Travel_Rarely"/>
    <n v="1329"/>
    <x v="0"/>
    <n v="29"/>
    <n v="4"/>
    <s v="Life Sciences"/>
    <n v="1"/>
    <n v="1211"/>
    <x v="1"/>
    <x v="1"/>
    <x v="1"/>
    <x v="0"/>
    <x v="0"/>
    <x v="0"/>
    <x v="3"/>
    <x v="2"/>
    <x v="816"/>
    <x v="853"/>
    <x v="0"/>
    <s v="Y"/>
    <s v="No"/>
    <x v="12"/>
    <x v="0"/>
    <n v="3"/>
    <x v="0"/>
    <n v="3"/>
    <x v="0"/>
    <n v="3"/>
    <x v="1"/>
    <x v="9"/>
    <x v="7"/>
    <x v="0"/>
    <x v="6"/>
  </r>
  <r>
    <x v="32"/>
    <x v="1"/>
    <s v="Travel_Frequently"/>
    <n v="1184"/>
    <x v="0"/>
    <n v="2"/>
    <n v="4"/>
    <s v="Medical"/>
    <n v="1"/>
    <n v="1212"/>
    <x v="0"/>
    <x v="1"/>
    <x v="50"/>
    <x v="0"/>
    <x v="0"/>
    <x v="0"/>
    <x v="1"/>
    <x v="1"/>
    <x v="817"/>
    <x v="854"/>
    <x v="6"/>
    <s v="Y"/>
    <s v="No"/>
    <x v="3"/>
    <x v="0"/>
    <n v="4"/>
    <x v="0"/>
    <n v="3"/>
    <x v="7"/>
    <n v="2"/>
    <x v="1"/>
    <x v="2"/>
    <x v="2"/>
    <x v="0"/>
    <x v="2"/>
  </r>
  <r>
    <x v="24"/>
    <x v="1"/>
    <s v="Travel_Frequently"/>
    <n v="1421"/>
    <x v="1"/>
    <n v="2"/>
    <n v="3"/>
    <s v="Medical"/>
    <n v="1"/>
    <n v="1215"/>
    <x v="2"/>
    <x v="0"/>
    <x v="37"/>
    <x v="0"/>
    <x v="3"/>
    <x v="5"/>
    <x v="3"/>
    <x v="1"/>
    <x v="818"/>
    <x v="855"/>
    <x v="7"/>
    <s v="Y"/>
    <s v="No"/>
    <x v="6"/>
    <x v="1"/>
    <n v="3"/>
    <x v="0"/>
    <n v="1"/>
    <x v="36"/>
    <n v="3"/>
    <x v="1"/>
    <x v="4"/>
    <x v="3"/>
    <x v="3"/>
    <x v="3"/>
  </r>
  <r>
    <x v="14"/>
    <x v="1"/>
    <s v="Travel_Rarely"/>
    <n v="1179"/>
    <x v="1"/>
    <n v="19"/>
    <n v="4"/>
    <s v="Medical"/>
    <n v="1"/>
    <n v="1216"/>
    <x v="2"/>
    <x v="1"/>
    <x v="17"/>
    <x v="1"/>
    <x v="1"/>
    <x v="2"/>
    <x v="3"/>
    <x v="1"/>
    <x v="819"/>
    <x v="856"/>
    <x v="1"/>
    <s v="Y"/>
    <s v="No"/>
    <x v="3"/>
    <x v="0"/>
    <n v="3"/>
    <x v="0"/>
    <n v="3"/>
    <x v="3"/>
    <n v="2"/>
    <x v="1"/>
    <x v="0"/>
    <x v="4"/>
    <x v="2"/>
    <x v="6"/>
  </r>
  <r>
    <x v="21"/>
    <x v="1"/>
    <s v="Travel_Rarely"/>
    <n v="1450"/>
    <x v="1"/>
    <n v="15"/>
    <n v="2"/>
    <s v="Life Sciences"/>
    <n v="1"/>
    <n v="1217"/>
    <x v="2"/>
    <x v="1"/>
    <x v="48"/>
    <x v="0"/>
    <x v="4"/>
    <x v="7"/>
    <x v="1"/>
    <x v="1"/>
    <x v="820"/>
    <x v="857"/>
    <x v="6"/>
    <s v="Y"/>
    <s v="No"/>
    <x v="0"/>
    <x v="0"/>
    <n v="1"/>
    <x v="0"/>
    <n v="1"/>
    <x v="25"/>
    <n v="2"/>
    <x v="1"/>
    <x v="9"/>
    <x v="3"/>
    <x v="0"/>
    <x v="6"/>
  </r>
  <r>
    <x v="10"/>
    <x v="1"/>
    <s v="Travel_Rarely"/>
    <n v="1361"/>
    <x v="0"/>
    <n v="17"/>
    <n v="4"/>
    <s v="Life Sciences"/>
    <n v="1"/>
    <n v="1218"/>
    <x v="1"/>
    <x v="1"/>
    <x v="0"/>
    <x v="0"/>
    <x v="0"/>
    <x v="0"/>
    <x v="3"/>
    <x v="1"/>
    <x v="821"/>
    <x v="858"/>
    <x v="9"/>
    <s v="Y"/>
    <s v="Yes"/>
    <x v="2"/>
    <x v="0"/>
    <n v="4"/>
    <x v="0"/>
    <n v="3"/>
    <x v="20"/>
    <n v="2"/>
    <x v="1"/>
    <x v="5"/>
    <x v="1"/>
    <x v="1"/>
    <x v="1"/>
  </r>
  <r>
    <x v="17"/>
    <x v="0"/>
    <s v="Travel_Rarely"/>
    <n v="984"/>
    <x v="1"/>
    <n v="17"/>
    <n v="2"/>
    <s v="Life Sciences"/>
    <n v="1"/>
    <n v="1219"/>
    <x v="2"/>
    <x v="0"/>
    <x v="28"/>
    <x v="0"/>
    <x v="1"/>
    <x v="2"/>
    <x v="1"/>
    <x v="1"/>
    <x v="822"/>
    <x v="859"/>
    <x v="1"/>
    <s v="Y"/>
    <s v="No"/>
    <x v="4"/>
    <x v="0"/>
    <n v="1"/>
    <x v="0"/>
    <n v="1"/>
    <x v="5"/>
    <n v="3"/>
    <x v="0"/>
    <x v="6"/>
    <x v="2"/>
    <x v="0"/>
    <x v="2"/>
  </r>
  <r>
    <x v="3"/>
    <x v="1"/>
    <s v="Travel_Frequently"/>
    <n v="1146"/>
    <x v="0"/>
    <n v="25"/>
    <n v="3"/>
    <s v="Medical"/>
    <n v="1"/>
    <n v="1220"/>
    <x v="0"/>
    <x v="0"/>
    <x v="19"/>
    <x v="0"/>
    <x v="0"/>
    <x v="0"/>
    <x v="2"/>
    <x v="1"/>
    <x v="823"/>
    <x v="860"/>
    <x v="1"/>
    <s v="Y"/>
    <s v="No"/>
    <x v="3"/>
    <x v="0"/>
    <n v="1"/>
    <x v="0"/>
    <n v="1"/>
    <x v="1"/>
    <n v="3"/>
    <x v="2"/>
    <x v="1"/>
    <x v="1"/>
    <x v="0"/>
    <x v="9"/>
  </r>
  <r>
    <x v="9"/>
    <x v="1"/>
    <s v="Travel_Rarely"/>
    <n v="917"/>
    <x v="1"/>
    <n v="6"/>
    <n v="4"/>
    <s v="Life Sciences"/>
    <n v="1"/>
    <n v="1221"/>
    <x v="1"/>
    <x v="1"/>
    <x v="53"/>
    <x v="3"/>
    <x v="1"/>
    <x v="2"/>
    <x v="2"/>
    <x v="2"/>
    <x v="199"/>
    <x v="861"/>
    <x v="1"/>
    <s v="Y"/>
    <s v="No"/>
    <x v="9"/>
    <x v="0"/>
    <n v="3"/>
    <x v="0"/>
    <n v="1"/>
    <x v="2"/>
    <n v="4"/>
    <x v="1"/>
    <x v="5"/>
    <x v="1"/>
    <x v="1"/>
    <x v="1"/>
  </r>
  <r>
    <x v="7"/>
    <x v="1"/>
    <s v="Travel_Rarely"/>
    <n v="853"/>
    <x v="1"/>
    <n v="7"/>
    <n v="4"/>
    <s v="Life Sciences"/>
    <n v="1"/>
    <n v="1224"/>
    <x v="1"/>
    <x v="1"/>
    <x v="10"/>
    <x v="0"/>
    <x v="0"/>
    <x v="2"/>
    <x v="2"/>
    <x v="2"/>
    <x v="824"/>
    <x v="862"/>
    <x v="1"/>
    <s v="Y"/>
    <s v="No"/>
    <x v="4"/>
    <x v="0"/>
    <n v="1"/>
    <x v="0"/>
    <n v="3"/>
    <x v="1"/>
    <n v="4"/>
    <x v="2"/>
    <x v="1"/>
    <x v="1"/>
    <x v="6"/>
    <x v="12"/>
  </r>
  <r>
    <x v="20"/>
    <x v="1"/>
    <s v="Travel_Rarely"/>
    <n v="200"/>
    <x v="1"/>
    <n v="29"/>
    <n v="4"/>
    <s v="Other"/>
    <n v="1"/>
    <n v="1225"/>
    <x v="2"/>
    <x v="1"/>
    <x v="47"/>
    <x v="0"/>
    <x v="0"/>
    <x v="1"/>
    <x v="0"/>
    <x v="0"/>
    <x v="825"/>
    <x v="234"/>
    <x v="1"/>
    <s v="Y"/>
    <s v="No"/>
    <x v="14"/>
    <x v="1"/>
    <n v="2"/>
    <x v="0"/>
    <n v="0"/>
    <x v="26"/>
    <n v="3"/>
    <x v="1"/>
    <x v="23"/>
    <x v="14"/>
    <x v="11"/>
    <x v="8"/>
  </r>
  <r>
    <x v="35"/>
    <x v="1"/>
    <s v="Travel_Rarely"/>
    <n v="654"/>
    <x v="0"/>
    <n v="21"/>
    <n v="3"/>
    <s v="Marketing"/>
    <n v="1"/>
    <n v="1226"/>
    <x v="1"/>
    <x v="1"/>
    <x v="38"/>
    <x v="2"/>
    <x v="1"/>
    <x v="6"/>
    <x v="0"/>
    <x v="0"/>
    <x v="826"/>
    <x v="863"/>
    <x v="1"/>
    <s v="Y"/>
    <s v="No"/>
    <x v="8"/>
    <x v="0"/>
    <n v="4"/>
    <x v="0"/>
    <n v="0"/>
    <x v="17"/>
    <n v="2"/>
    <x v="1"/>
    <x v="4"/>
    <x v="10"/>
    <x v="3"/>
    <x v="3"/>
  </r>
  <r>
    <x v="21"/>
    <x v="1"/>
    <s v="Travel_Rarely"/>
    <n v="150"/>
    <x v="1"/>
    <n v="2"/>
    <n v="4"/>
    <s v="Technical Degree"/>
    <n v="1"/>
    <n v="1228"/>
    <x v="2"/>
    <x v="1"/>
    <x v="53"/>
    <x v="0"/>
    <x v="0"/>
    <x v="3"/>
    <x v="0"/>
    <x v="2"/>
    <x v="827"/>
    <x v="864"/>
    <x v="7"/>
    <s v="Y"/>
    <s v="No"/>
    <x v="0"/>
    <x v="0"/>
    <n v="3"/>
    <x v="0"/>
    <n v="1"/>
    <x v="4"/>
    <n v="3"/>
    <x v="2"/>
    <x v="0"/>
    <x v="7"/>
    <x v="1"/>
    <x v="10"/>
  </r>
  <r>
    <x v="19"/>
    <x v="1"/>
    <s v="Non-Travel"/>
    <n v="179"/>
    <x v="2"/>
    <n v="2"/>
    <n v="5"/>
    <s v="Medical"/>
    <n v="1"/>
    <n v="1231"/>
    <x v="2"/>
    <x v="1"/>
    <x v="5"/>
    <x v="2"/>
    <x v="0"/>
    <x v="8"/>
    <x v="3"/>
    <x v="1"/>
    <x v="458"/>
    <x v="865"/>
    <x v="8"/>
    <s v="Y"/>
    <s v="No"/>
    <x v="10"/>
    <x v="0"/>
    <n v="1"/>
    <x v="0"/>
    <n v="1"/>
    <x v="1"/>
    <n v="3"/>
    <x v="3"/>
    <x v="9"/>
    <x v="7"/>
    <x v="0"/>
    <x v="6"/>
  </r>
  <r>
    <x v="42"/>
    <x v="1"/>
    <s v="Travel_Rarely"/>
    <n v="696"/>
    <x v="0"/>
    <n v="7"/>
    <n v="4"/>
    <s v="Marketing"/>
    <n v="1"/>
    <n v="1233"/>
    <x v="0"/>
    <x v="1"/>
    <x v="48"/>
    <x v="2"/>
    <x v="0"/>
    <x v="0"/>
    <x v="0"/>
    <x v="2"/>
    <x v="828"/>
    <x v="866"/>
    <x v="4"/>
    <s v="Y"/>
    <s v="Yes"/>
    <x v="11"/>
    <x v="0"/>
    <n v="2"/>
    <x v="0"/>
    <n v="1"/>
    <x v="4"/>
    <n v="3"/>
    <x v="1"/>
    <x v="19"/>
    <x v="1"/>
    <x v="1"/>
    <x v="12"/>
  </r>
  <r>
    <x v="5"/>
    <x v="1"/>
    <s v="Travel_Frequently"/>
    <n v="116"/>
    <x v="1"/>
    <n v="13"/>
    <n v="3"/>
    <s v="Other"/>
    <n v="1"/>
    <n v="1234"/>
    <x v="1"/>
    <x v="0"/>
    <x v="57"/>
    <x v="1"/>
    <x v="1"/>
    <x v="2"/>
    <x v="1"/>
    <x v="1"/>
    <x v="714"/>
    <x v="867"/>
    <x v="1"/>
    <s v="Y"/>
    <s v="No"/>
    <x v="5"/>
    <x v="1"/>
    <n v="3"/>
    <x v="0"/>
    <n v="1"/>
    <x v="17"/>
    <n v="2"/>
    <x v="1"/>
    <x v="4"/>
    <x v="3"/>
    <x v="3"/>
    <x v="3"/>
  </r>
  <r>
    <x v="5"/>
    <x v="1"/>
    <s v="Travel_Frequently"/>
    <n v="1316"/>
    <x v="1"/>
    <n v="2"/>
    <n v="2"/>
    <s v="Life Sciences"/>
    <n v="1"/>
    <n v="1235"/>
    <x v="2"/>
    <x v="0"/>
    <x v="70"/>
    <x v="0"/>
    <x v="0"/>
    <x v="1"/>
    <x v="2"/>
    <x v="0"/>
    <x v="829"/>
    <x v="868"/>
    <x v="5"/>
    <s v="Y"/>
    <s v="Yes"/>
    <x v="9"/>
    <x v="0"/>
    <n v="4"/>
    <x v="0"/>
    <n v="0"/>
    <x v="1"/>
    <n v="2"/>
    <x v="1"/>
    <x v="3"/>
    <x v="1"/>
    <x v="0"/>
    <x v="1"/>
  </r>
  <r>
    <x v="9"/>
    <x v="1"/>
    <s v="Travel_Rarely"/>
    <n v="363"/>
    <x v="1"/>
    <n v="1"/>
    <n v="3"/>
    <s v="Technical Degree"/>
    <n v="1"/>
    <n v="1237"/>
    <x v="1"/>
    <x v="0"/>
    <x v="57"/>
    <x v="3"/>
    <x v="2"/>
    <x v="3"/>
    <x v="3"/>
    <x v="2"/>
    <x v="830"/>
    <x v="869"/>
    <x v="7"/>
    <s v="Y"/>
    <s v="Yes"/>
    <x v="7"/>
    <x v="1"/>
    <n v="3"/>
    <x v="0"/>
    <n v="1"/>
    <x v="6"/>
    <n v="2"/>
    <x v="1"/>
    <x v="5"/>
    <x v="1"/>
    <x v="4"/>
    <x v="1"/>
  </r>
  <r>
    <x v="3"/>
    <x v="1"/>
    <s v="Travel_Rarely"/>
    <n v="117"/>
    <x v="1"/>
    <n v="9"/>
    <n v="3"/>
    <s v="Medical"/>
    <n v="1"/>
    <n v="1238"/>
    <x v="3"/>
    <x v="1"/>
    <x v="53"/>
    <x v="0"/>
    <x v="1"/>
    <x v="1"/>
    <x v="0"/>
    <x v="1"/>
    <x v="831"/>
    <x v="870"/>
    <x v="4"/>
    <s v="Y"/>
    <s v="No"/>
    <x v="4"/>
    <x v="0"/>
    <n v="2"/>
    <x v="0"/>
    <n v="1"/>
    <x v="20"/>
    <n v="5"/>
    <x v="1"/>
    <x v="13"/>
    <x v="15"/>
    <x v="5"/>
    <x v="13"/>
  </r>
  <r>
    <x v="32"/>
    <x v="1"/>
    <s v="Travel_Rarely"/>
    <n v="107"/>
    <x v="0"/>
    <n v="10"/>
    <n v="3"/>
    <s v="Technical Degree"/>
    <n v="1"/>
    <n v="1239"/>
    <x v="0"/>
    <x v="0"/>
    <x v="9"/>
    <x v="1"/>
    <x v="0"/>
    <x v="0"/>
    <x v="1"/>
    <x v="2"/>
    <x v="832"/>
    <x v="871"/>
    <x v="8"/>
    <s v="Y"/>
    <s v="No"/>
    <x v="3"/>
    <x v="0"/>
    <n v="2"/>
    <x v="0"/>
    <n v="1"/>
    <x v="2"/>
    <n v="2"/>
    <x v="3"/>
    <x v="8"/>
    <x v="10"/>
    <x v="1"/>
    <x v="6"/>
  </r>
  <r>
    <x v="36"/>
    <x v="1"/>
    <s v="Travel_Rarely"/>
    <n v="1356"/>
    <x v="0"/>
    <n v="10"/>
    <n v="4"/>
    <s v="Life Sciences"/>
    <n v="1"/>
    <n v="1240"/>
    <x v="1"/>
    <x v="1"/>
    <x v="42"/>
    <x v="0"/>
    <x v="0"/>
    <x v="0"/>
    <x v="0"/>
    <x v="0"/>
    <x v="833"/>
    <x v="872"/>
    <x v="4"/>
    <s v="Y"/>
    <s v="No"/>
    <x v="9"/>
    <x v="0"/>
    <n v="2"/>
    <x v="0"/>
    <n v="0"/>
    <x v="7"/>
    <n v="4"/>
    <x v="1"/>
    <x v="9"/>
    <x v="7"/>
    <x v="1"/>
    <x v="9"/>
  </r>
  <r>
    <x v="7"/>
    <x v="1"/>
    <s v="Travel_Rarely"/>
    <n v="1465"/>
    <x v="1"/>
    <n v="1"/>
    <n v="3"/>
    <s v="Medical"/>
    <n v="1"/>
    <n v="1241"/>
    <x v="2"/>
    <x v="1"/>
    <x v="52"/>
    <x v="0"/>
    <x v="1"/>
    <x v="1"/>
    <x v="1"/>
    <x v="1"/>
    <x v="834"/>
    <x v="873"/>
    <x v="4"/>
    <s v="Y"/>
    <s v="Yes"/>
    <x v="7"/>
    <x v="1"/>
    <n v="1"/>
    <x v="0"/>
    <n v="1"/>
    <x v="4"/>
    <n v="2"/>
    <x v="1"/>
    <x v="19"/>
    <x v="5"/>
    <x v="8"/>
    <x v="1"/>
  </r>
  <r>
    <x v="19"/>
    <x v="1"/>
    <s v="Travel_Frequently"/>
    <n v="458"/>
    <x v="1"/>
    <n v="26"/>
    <n v="5"/>
    <s v="Medical"/>
    <n v="1"/>
    <n v="1242"/>
    <x v="3"/>
    <x v="0"/>
    <x v="53"/>
    <x v="0"/>
    <x v="2"/>
    <x v="7"/>
    <x v="3"/>
    <x v="1"/>
    <x v="835"/>
    <x v="874"/>
    <x v="9"/>
    <s v="Y"/>
    <s v="Yes"/>
    <x v="8"/>
    <x v="0"/>
    <n v="3"/>
    <x v="0"/>
    <n v="0"/>
    <x v="26"/>
    <n v="6"/>
    <x v="1"/>
    <x v="6"/>
    <x v="2"/>
    <x v="0"/>
    <x v="2"/>
  </r>
  <r>
    <x v="10"/>
    <x v="1"/>
    <s v="Non-Travel"/>
    <n v="1212"/>
    <x v="0"/>
    <n v="8"/>
    <n v="2"/>
    <s v="Marketing"/>
    <n v="1"/>
    <n v="1243"/>
    <x v="1"/>
    <x v="0"/>
    <x v="17"/>
    <x v="1"/>
    <x v="2"/>
    <x v="0"/>
    <x v="0"/>
    <x v="1"/>
    <x v="836"/>
    <x v="875"/>
    <x v="5"/>
    <s v="Y"/>
    <s v="Yes"/>
    <x v="0"/>
    <x v="0"/>
    <n v="2"/>
    <x v="0"/>
    <n v="1"/>
    <x v="28"/>
    <n v="6"/>
    <x v="2"/>
    <x v="20"/>
    <x v="3"/>
    <x v="5"/>
    <x v="11"/>
  </r>
  <r>
    <x v="4"/>
    <x v="1"/>
    <s v="Travel_Rarely"/>
    <n v="1103"/>
    <x v="1"/>
    <n v="14"/>
    <n v="3"/>
    <s v="Life Sciences"/>
    <n v="1"/>
    <n v="1244"/>
    <x v="3"/>
    <x v="1"/>
    <x v="25"/>
    <x v="0"/>
    <x v="1"/>
    <x v="1"/>
    <x v="3"/>
    <x v="1"/>
    <x v="837"/>
    <x v="876"/>
    <x v="1"/>
    <s v="Y"/>
    <s v="Yes"/>
    <x v="9"/>
    <x v="0"/>
    <n v="4"/>
    <x v="0"/>
    <n v="2"/>
    <x v="15"/>
    <n v="3"/>
    <x v="2"/>
    <x v="7"/>
    <x v="1"/>
    <x v="7"/>
    <x v="5"/>
  </r>
  <r>
    <x v="33"/>
    <x v="1"/>
    <s v="Travel_Frequently"/>
    <n v="966"/>
    <x v="1"/>
    <n v="1"/>
    <n v="4"/>
    <s v="Life Sciences"/>
    <n v="1"/>
    <n v="1245"/>
    <x v="2"/>
    <x v="0"/>
    <x v="20"/>
    <x v="0"/>
    <x v="2"/>
    <x v="3"/>
    <x v="2"/>
    <x v="2"/>
    <x v="838"/>
    <x v="877"/>
    <x v="8"/>
    <s v="Y"/>
    <s v="No"/>
    <x v="8"/>
    <x v="0"/>
    <n v="1"/>
    <x v="0"/>
    <n v="1"/>
    <x v="37"/>
    <n v="2"/>
    <x v="0"/>
    <x v="8"/>
    <x v="0"/>
    <x v="1"/>
    <x v="10"/>
  </r>
  <r>
    <x v="20"/>
    <x v="1"/>
    <s v="Travel_Rarely"/>
    <n v="1117"/>
    <x v="1"/>
    <n v="2"/>
    <n v="1"/>
    <s v="Life Sciences"/>
    <n v="1"/>
    <n v="1246"/>
    <x v="3"/>
    <x v="0"/>
    <x v="23"/>
    <x v="2"/>
    <x v="1"/>
    <x v="1"/>
    <x v="0"/>
    <x v="1"/>
    <x v="839"/>
    <x v="878"/>
    <x v="1"/>
    <s v="Y"/>
    <s v="No"/>
    <x v="4"/>
    <x v="0"/>
    <n v="4"/>
    <x v="0"/>
    <n v="1"/>
    <x v="1"/>
    <n v="5"/>
    <x v="1"/>
    <x v="1"/>
    <x v="4"/>
    <x v="4"/>
    <x v="1"/>
  </r>
  <r>
    <x v="37"/>
    <x v="0"/>
    <s v="Non-Travel"/>
    <n v="504"/>
    <x v="1"/>
    <n v="10"/>
    <n v="3"/>
    <s v="Medical"/>
    <n v="1"/>
    <n v="1248"/>
    <x v="3"/>
    <x v="0"/>
    <x v="16"/>
    <x v="1"/>
    <x v="1"/>
    <x v="1"/>
    <x v="1"/>
    <x v="0"/>
    <x v="840"/>
    <x v="879"/>
    <x v="1"/>
    <s v="Y"/>
    <s v="Yes"/>
    <x v="14"/>
    <x v="1"/>
    <n v="2"/>
    <x v="0"/>
    <n v="0"/>
    <x v="5"/>
    <n v="2"/>
    <x v="3"/>
    <x v="6"/>
    <x v="10"/>
    <x v="0"/>
    <x v="2"/>
  </r>
  <r>
    <x v="11"/>
    <x v="1"/>
    <s v="Travel_Rarely"/>
    <n v="1010"/>
    <x v="1"/>
    <n v="1"/>
    <n v="3"/>
    <s v="Life Sciences"/>
    <n v="1"/>
    <n v="1249"/>
    <x v="3"/>
    <x v="0"/>
    <x v="28"/>
    <x v="0"/>
    <x v="1"/>
    <x v="1"/>
    <x v="0"/>
    <x v="2"/>
    <x v="841"/>
    <x v="880"/>
    <x v="1"/>
    <s v="Y"/>
    <s v="No"/>
    <x v="2"/>
    <x v="0"/>
    <n v="1"/>
    <x v="0"/>
    <n v="3"/>
    <x v="8"/>
    <n v="5"/>
    <x v="1"/>
    <x v="11"/>
    <x v="3"/>
    <x v="1"/>
    <x v="3"/>
  </r>
  <r>
    <x v="33"/>
    <x v="1"/>
    <s v="Travel_Rarely"/>
    <n v="685"/>
    <x v="1"/>
    <n v="3"/>
    <n v="3"/>
    <s v="Life Sciences"/>
    <n v="1"/>
    <n v="1250"/>
    <x v="2"/>
    <x v="1"/>
    <x v="65"/>
    <x v="0"/>
    <x v="3"/>
    <x v="7"/>
    <x v="0"/>
    <x v="1"/>
    <x v="842"/>
    <x v="881"/>
    <x v="9"/>
    <s v="Y"/>
    <s v="No"/>
    <x v="9"/>
    <x v="0"/>
    <n v="1"/>
    <x v="0"/>
    <n v="0"/>
    <x v="34"/>
    <n v="2"/>
    <x v="1"/>
    <x v="1"/>
    <x v="5"/>
    <x v="0"/>
    <x v="12"/>
  </r>
  <r>
    <x v="12"/>
    <x v="1"/>
    <s v="Travel_Rarely"/>
    <n v="1332"/>
    <x v="1"/>
    <n v="11"/>
    <n v="2"/>
    <s v="Medical"/>
    <n v="1"/>
    <n v="1251"/>
    <x v="1"/>
    <x v="1"/>
    <x v="15"/>
    <x v="0"/>
    <x v="0"/>
    <x v="4"/>
    <x v="3"/>
    <x v="1"/>
    <x v="843"/>
    <x v="882"/>
    <x v="1"/>
    <s v="Y"/>
    <s v="Yes"/>
    <x v="3"/>
    <x v="0"/>
    <n v="4"/>
    <x v="0"/>
    <n v="0"/>
    <x v="3"/>
    <n v="2"/>
    <x v="2"/>
    <x v="0"/>
    <x v="4"/>
    <x v="0"/>
    <x v="9"/>
  </r>
  <r>
    <x v="12"/>
    <x v="1"/>
    <s v="Travel_Rarely"/>
    <n v="1062"/>
    <x v="1"/>
    <n v="24"/>
    <n v="3"/>
    <s v="Medical"/>
    <n v="1"/>
    <n v="1252"/>
    <x v="1"/>
    <x v="0"/>
    <x v="16"/>
    <x v="1"/>
    <x v="0"/>
    <x v="4"/>
    <x v="3"/>
    <x v="0"/>
    <x v="844"/>
    <x v="883"/>
    <x v="1"/>
    <s v="Y"/>
    <s v="No"/>
    <x v="12"/>
    <x v="0"/>
    <n v="2"/>
    <x v="0"/>
    <n v="0"/>
    <x v="1"/>
    <n v="2"/>
    <x v="1"/>
    <x v="1"/>
    <x v="5"/>
    <x v="1"/>
    <x v="5"/>
  </r>
  <r>
    <x v="6"/>
    <x v="1"/>
    <s v="Travel_Rarely"/>
    <n v="326"/>
    <x v="0"/>
    <n v="3"/>
    <n v="3"/>
    <s v="Life Sciences"/>
    <n v="1"/>
    <n v="1254"/>
    <x v="1"/>
    <x v="0"/>
    <x v="24"/>
    <x v="1"/>
    <x v="0"/>
    <x v="0"/>
    <x v="0"/>
    <x v="0"/>
    <x v="845"/>
    <x v="884"/>
    <x v="6"/>
    <s v="Y"/>
    <s v="No"/>
    <x v="8"/>
    <x v="0"/>
    <n v="4"/>
    <x v="0"/>
    <n v="0"/>
    <x v="10"/>
    <n v="2"/>
    <x v="1"/>
    <x v="0"/>
    <x v="10"/>
    <x v="0"/>
    <x v="0"/>
  </r>
  <r>
    <x v="23"/>
    <x v="1"/>
    <s v="Travel_Rarely"/>
    <n v="920"/>
    <x v="1"/>
    <n v="3"/>
    <n v="3"/>
    <s v="Life Sciences"/>
    <n v="1"/>
    <n v="1255"/>
    <x v="1"/>
    <x v="1"/>
    <x v="16"/>
    <x v="3"/>
    <x v="4"/>
    <x v="7"/>
    <x v="0"/>
    <x v="1"/>
    <x v="846"/>
    <x v="885"/>
    <x v="9"/>
    <s v="Y"/>
    <s v="No"/>
    <x v="9"/>
    <x v="0"/>
    <n v="2"/>
    <x v="0"/>
    <n v="1"/>
    <x v="25"/>
    <n v="2"/>
    <x v="1"/>
    <x v="3"/>
    <x v="1"/>
    <x v="0"/>
    <x v="1"/>
  </r>
  <r>
    <x v="1"/>
    <x v="1"/>
    <s v="Travel_Rarely"/>
    <n v="1098"/>
    <x v="1"/>
    <n v="4"/>
    <n v="2"/>
    <s v="Medical"/>
    <n v="1"/>
    <n v="1256"/>
    <x v="3"/>
    <x v="1"/>
    <x v="65"/>
    <x v="1"/>
    <x v="4"/>
    <x v="5"/>
    <x v="2"/>
    <x v="1"/>
    <x v="847"/>
    <x v="886"/>
    <x v="7"/>
    <s v="Y"/>
    <s v="No"/>
    <x v="4"/>
    <x v="0"/>
    <n v="3"/>
    <x v="0"/>
    <n v="1"/>
    <x v="18"/>
    <n v="2"/>
    <x v="3"/>
    <x v="6"/>
    <x v="2"/>
    <x v="0"/>
    <x v="2"/>
  </r>
  <r>
    <x v="9"/>
    <x v="1"/>
    <s v="Travel_Frequently"/>
    <n v="469"/>
    <x v="1"/>
    <n v="3"/>
    <n v="3"/>
    <s v="Technical Degree"/>
    <n v="1"/>
    <n v="1257"/>
    <x v="1"/>
    <x v="1"/>
    <x v="55"/>
    <x v="0"/>
    <x v="1"/>
    <x v="1"/>
    <x v="1"/>
    <x v="1"/>
    <x v="848"/>
    <x v="887"/>
    <x v="1"/>
    <s v="Y"/>
    <s v="No"/>
    <x v="3"/>
    <x v="0"/>
    <n v="3"/>
    <x v="0"/>
    <n v="0"/>
    <x v="4"/>
    <n v="2"/>
    <x v="2"/>
    <x v="19"/>
    <x v="15"/>
    <x v="0"/>
    <x v="1"/>
  </r>
  <r>
    <x v="26"/>
    <x v="1"/>
    <s v="Travel_Rarely"/>
    <n v="969"/>
    <x v="1"/>
    <n v="2"/>
    <n v="2"/>
    <s v="Technical Degree"/>
    <n v="1"/>
    <n v="1258"/>
    <x v="2"/>
    <x v="1"/>
    <x v="43"/>
    <x v="2"/>
    <x v="1"/>
    <x v="2"/>
    <x v="1"/>
    <x v="0"/>
    <x v="594"/>
    <x v="888"/>
    <x v="6"/>
    <s v="Y"/>
    <s v="No"/>
    <x v="0"/>
    <x v="0"/>
    <n v="3"/>
    <x v="0"/>
    <n v="0"/>
    <x v="2"/>
    <n v="4"/>
    <x v="2"/>
    <x v="6"/>
    <x v="2"/>
    <x v="0"/>
    <x v="2"/>
  </r>
  <r>
    <x v="4"/>
    <x v="1"/>
    <s v="Travel_Rarely"/>
    <n v="1167"/>
    <x v="1"/>
    <n v="4"/>
    <n v="2"/>
    <s v="Life Sciences"/>
    <n v="1"/>
    <n v="1259"/>
    <x v="3"/>
    <x v="1"/>
    <x v="43"/>
    <x v="0"/>
    <x v="1"/>
    <x v="1"/>
    <x v="2"/>
    <x v="2"/>
    <x v="849"/>
    <x v="889"/>
    <x v="1"/>
    <s v="Y"/>
    <s v="No"/>
    <x v="0"/>
    <x v="0"/>
    <n v="2"/>
    <x v="0"/>
    <n v="3"/>
    <x v="7"/>
    <n v="2"/>
    <x v="1"/>
    <x v="8"/>
    <x v="7"/>
    <x v="0"/>
    <x v="6"/>
  </r>
  <r>
    <x v="11"/>
    <x v="1"/>
    <s v="Travel_Rarely"/>
    <n v="1329"/>
    <x v="1"/>
    <n v="7"/>
    <n v="3"/>
    <s v="Life Sciences"/>
    <n v="1"/>
    <n v="1260"/>
    <x v="1"/>
    <x v="1"/>
    <x v="19"/>
    <x v="0"/>
    <x v="0"/>
    <x v="4"/>
    <x v="0"/>
    <x v="2"/>
    <x v="850"/>
    <x v="890"/>
    <x v="1"/>
    <s v="Y"/>
    <s v="Yes"/>
    <x v="0"/>
    <x v="0"/>
    <n v="2"/>
    <x v="0"/>
    <n v="2"/>
    <x v="3"/>
    <n v="2"/>
    <x v="1"/>
    <x v="0"/>
    <x v="2"/>
    <x v="1"/>
    <x v="2"/>
  </r>
  <r>
    <x v="26"/>
    <x v="1"/>
    <s v="Travel_Rarely"/>
    <n v="715"/>
    <x v="1"/>
    <n v="1"/>
    <n v="3"/>
    <s v="Life Sciences"/>
    <n v="1"/>
    <n v="1263"/>
    <x v="2"/>
    <x v="1"/>
    <x v="43"/>
    <x v="1"/>
    <x v="4"/>
    <x v="7"/>
    <x v="0"/>
    <x v="0"/>
    <x v="851"/>
    <x v="891"/>
    <x v="2"/>
    <s v="Y"/>
    <s v="No"/>
    <x v="3"/>
    <x v="0"/>
    <n v="3"/>
    <x v="0"/>
    <n v="0"/>
    <x v="25"/>
    <n v="3"/>
    <x v="3"/>
    <x v="6"/>
    <x v="2"/>
    <x v="0"/>
    <x v="2"/>
  </r>
  <r>
    <x v="11"/>
    <x v="1"/>
    <s v="Travel_Rarely"/>
    <n v="694"/>
    <x v="1"/>
    <n v="1"/>
    <n v="3"/>
    <s v="Life Sciences"/>
    <n v="1"/>
    <n v="1264"/>
    <x v="2"/>
    <x v="0"/>
    <x v="44"/>
    <x v="1"/>
    <x v="3"/>
    <x v="7"/>
    <x v="0"/>
    <x v="2"/>
    <x v="852"/>
    <x v="892"/>
    <x v="9"/>
    <s v="Y"/>
    <s v="No"/>
    <x v="9"/>
    <x v="0"/>
    <n v="2"/>
    <x v="0"/>
    <n v="2"/>
    <x v="15"/>
    <n v="2"/>
    <x v="2"/>
    <x v="5"/>
    <x v="1"/>
    <x v="1"/>
    <x v="1"/>
  </r>
  <r>
    <x v="13"/>
    <x v="1"/>
    <s v="Travel_Rarely"/>
    <n v="1320"/>
    <x v="1"/>
    <n v="20"/>
    <n v="3"/>
    <s v="Technical Degree"/>
    <n v="1"/>
    <n v="1265"/>
    <x v="1"/>
    <x v="0"/>
    <x v="66"/>
    <x v="2"/>
    <x v="1"/>
    <x v="1"/>
    <x v="2"/>
    <x v="1"/>
    <x v="853"/>
    <x v="893"/>
    <x v="4"/>
    <s v="Y"/>
    <s v="No"/>
    <x v="8"/>
    <x v="0"/>
    <n v="4"/>
    <x v="0"/>
    <n v="0"/>
    <x v="17"/>
    <n v="5"/>
    <x v="2"/>
    <x v="6"/>
    <x v="2"/>
    <x v="0"/>
    <x v="2"/>
  </r>
  <r>
    <x v="20"/>
    <x v="1"/>
    <s v="Travel_Rarely"/>
    <n v="1099"/>
    <x v="0"/>
    <n v="5"/>
    <n v="3"/>
    <s v="Marketing"/>
    <n v="1"/>
    <n v="1267"/>
    <x v="0"/>
    <x v="1"/>
    <x v="64"/>
    <x v="0"/>
    <x v="4"/>
    <x v="5"/>
    <x v="1"/>
    <x v="1"/>
    <x v="854"/>
    <x v="894"/>
    <x v="8"/>
    <s v="Y"/>
    <s v="No"/>
    <x v="0"/>
    <x v="0"/>
    <n v="3"/>
    <x v="0"/>
    <n v="1"/>
    <x v="12"/>
    <n v="5"/>
    <x v="1"/>
    <x v="14"/>
    <x v="5"/>
    <x v="2"/>
    <x v="13"/>
  </r>
  <r>
    <x v="3"/>
    <x v="1"/>
    <s v="Travel_Rarely"/>
    <n v="536"/>
    <x v="0"/>
    <n v="10"/>
    <n v="5"/>
    <s v="Marketing"/>
    <n v="1"/>
    <n v="1268"/>
    <x v="2"/>
    <x v="1"/>
    <x v="19"/>
    <x v="2"/>
    <x v="2"/>
    <x v="0"/>
    <x v="2"/>
    <x v="2"/>
    <x v="855"/>
    <x v="895"/>
    <x v="4"/>
    <s v="Y"/>
    <s v="Yes"/>
    <x v="9"/>
    <x v="0"/>
    <n v="4"/>
    <x v="0"/>
    <n v="2"/>
    <x v="1"/>
    <n v="3"/>
    <x v="1"/>
    <x v="7"/>
    <x v="6"/>
    <x v="0"/>
    <x v="5"/>
  </r>
  <r>
    <x v="37"/>
    <x v="1"/>
    <s v="Travel_Rarely"/>
    <n v="265"/>
    <x v="1"/>
    <n v="25"/>
    <n v="3"/>
    <s v="Life Sciences"/>
    <n v="1"/>
    <n v="1269"/>
    <x v="0"/>
    <x v="0"/>
    <x v="42"/>
    <x v="2"/>
    <x v="1"/>
    <x v="1"/>
    <x v="0"/>
    <x v="0"/>
    <x v="856"/>
    <x v="896"/>
    <x v="1"/>
    <s v="Y"/>
    <s v="Yes"/>
    <x v="3"/>
    <x v="0"/>
    <n v="4"/>
    <x v="0"/>
    <n v="0"/>
    <x v="5"/>
    <n v="2"/>
    <x v="1"/>
    <x v="6"/>
    <x v="2"/>
    <x v="0"/>
    <x v="9"/>
  </r>
  <r>
    <x v="30"/>
    <x v="1"/>
    <s v="Travel_Rarely"/>
    <n v="373"/>
    <x v="1"/>
    <n v="1"/>
    <n v="2"/>
    <s v="Life Sciences"/>
    <n v="1"/>
    <n v="1270"/>
    <x v="2"/>
    <x v="1"/>
    <x v="35"/>
    <x v="0"/>
    <x v="1"/>
    <x v="1"/>
    <x v="2"/>
    <x v="1"/>
    <x v="857"/>
    <x v="897"/>
    <x v="1"/>
    <s v="Y"/>
    <s v="No"/>
    <x v="6"/>
    <x v="1"/>
    <n v="4"/>
    <x v="0"/>
    <n v="1"/>
    <x v="5"/>
    <n v="2"/>
    <x v="1"/>
    <x v="6"/>
    <x v="2"/>
    <x v="0"/>
    <x v="9"/>
  </r>
  <r>
    <x v="36"/>
    <x v="0"/>
    <s v="Travel_Frequently"/>
    <n v="599"/>
    <x v="0"/>
    <n v="24"/>
    <n v="1"/>
    <s v="Life Sciences"/>
    <n v="1"/>
    <n v="1273"/>
    <x v="1"/>
    <x v="1"/>
    <x v="32"/>
    <x v="3"/>
    <x v="1"/>
    <x v="6"/>
    <x v="0"/>
    <x v="0"/>
    <x v="858"/>
    <x v="898"/>
    <x v="1"/>
    <s v="Y"/>
    <s v="Yes"/>
    <x v="9"/>
    <x v="0"/>
    <n v="4"/>
    <x v="0"/>
    <n v="0"/>
    <x v="5"/>
    <n v="4"/>
    <x v="1"/>
    <x v="6"/>
    <x v="2"/>
    <x v="1"/>
    <x v="2"/>
  </r>
  <r>
    <x v="25"/>
    <x v="1"/>
    <s v="Travel_Rarely"/>
    <n v="583"/>
    <x v="1"/>
    <n v="4"/>
    <n v="2"/>
    <s v="Life Sciences"/>
    <n v="1"/>
    <n v="1275"/>
    <x v="1"/>
    <x v="1"/>
    <x v="20"/>
    <x v="0"/>
    <x v="1"/>
    <x v="1"/>
    <x v="0"/>
    <x v="0"/>
    <x v="859"/>
    <x v="899"/>
    <x v="1"/>
    <s v="Y"/>
    <s v="Yes"/>
    <x v="5"/>
    <x v="1"/>
    <n v="2"/>
    <x v="0"/>
    <n v="0"/>
    <x v="0"/>
    <n v="2"/>
    <x v="2"/>
    <x v="3"/>
    <x v="4"/>
    <x v="3"/>
    <x v="3"/>
  </r>
  <r>
    <x v="28"/>
    <x v="0"/>
    <s v="Travel_Rarely"/>
    <n v="1449"/>
    <x v="0"/>
    <n v="2"/>
    <n v="3"/>
    <s v="Marketing"/>
    <n v="1"/>
    <n v="1277"/>
    <x v="3"/>
    <x v="0"/>
    <x v="0"/>
    <x v="3"/>
    <x v="4"/>
    <x v="5"/>
    <x v="1"/>
    <x v="0"/>
    <x v="860"/>
    <x v="900"/>
    <x v="7"/>
    <s v="Y"/>
    <s v="Yes"/>
    <x v="10"/>
    <x v="0"/>
    <n v="1"/>
    <x v="0"/>
    <n v="0"/>
    <x v="12"/>
    <n v="2"/>
    <x v="1"/>
    <x v="25"/>
    <x v="15"/>
    <x v="1"/>
    <x v="7"/>
  </r>
  <r>
    <x v="27"/>
    <x v="1"/>
    <s v="Non-Travel"/>
    <n v="177"/>
    <x v="1"/>
    <n v="8"/>
    <n v="1"/>
    <s v="Medical"/>
    <n v="1"/>
    <n v="1278"/>
    <x v="2"/>
    <x v="1"/>
    <x v="31"/>
    <x v="1"/>
    <x v="3"/>
    <x v="4"/>
    <x v="1"/>
    <x v="2"/>
    <x v="861"/>
    <x v="901"/>
    <x v="1"/>
    <s v="Y"/>
    <s v="Yes"/>
    <x v="2"/>
    <x v="0"/>
    <n v="4"/>
    <x v="0"/>
    <n v="1"/>
    <x v="35"/>
    <n v="3"/>
    <x v="1"/>
    <x v="26"/>
    <x v="5"/>
    <x v="9"/>
    <x v="2"/>
  </r>
  <r>
    <x v="18"/>
    <x v="0"/>
    <s v="Travel_Frequently"/>
    <n v="251"/>
    <x v="1"/>
    <n v="10"/>
    <n v="2"/>
    <s v="Life Sciences"/>
    <n v="1"/>
    <n v="1279"/>
    <x v="3"/>
    <x v="0"/>
    <x v="18"/>
    <x v="1"/>
    <x v="1"/>
    <x v="2"/>
    <x v="2"/>
    <x v="0"/>
    <x v="862"/>
    <x v="902"/>
    <x v="1"/>
    <s v="Y"/>
    <s v="No"/>
    <x v="5"/>
    <x v="1"/>
    <n v="3"/>
    <x v="0"/>
    <n v="0"/>
    <x v="17"/>
    <n v="2"/>
    <x v="0"/>
    <x v="4"/>
    <x v="3"/>
    <x v="3"/>
    <x v="3"/>
  </r>
  <r>
    <x v="21"/>
    <x v="1"/>
    <s v="Travel_Rarely"/>
    <n v="168"/>
    <x v="0"/>
    <n v="4"/>
    <n v="2"/>
    <s v="Marketing"/>
    <n v="1"/>
    <n v="1280"/>
    <x v="2"/>
    <x v="0"/>
    <x v="30"/>
    <x v="1"/>
    <x v="4"/>
    <x v="5"/>
    <x v="1"/>
    <x v="1"/>
    <x v="863"/>
    <x v="903"/>
    <x v="7"/>
    <s v="Y"/>
    <s v="No"/>
    <x v="9"/>
    <x v="0"/>
    <n v="3"/>
    <x v="0"/>
    <n v="1"/>
    <x v="12"/>
    <n v="2"/>
    <x v="1"/>
    <x v="19"/>
    <x v="0"/>
    <x v="0"/>
    <x v="5"/>
  </r>
  <r>
    <x v="13"/>
    <x v="1"/>
    <s v="Travel_Rarely"/>
    <n v="131"/>
    <x v="0"/>
    <n v="2"/>
    <n v="3"/>
    <s v="Marketing"/>
    <n v="1"/>
    <n v="1281"/>
    <x v="1"/>
    <x v="0"/>
    <x v="27"/>
    <x v="0"/>
    <x v="0"/>
    <x v="0"/>
    <x v="3"/>
    <x v="0"/>
    <x v="864"/>
    <x v="904"/>
    <x v="4"/>
    <s v="Y"/>
    <s v="Yes"/>
    <x v="3"/>
    <x v="0"/>
    <n v="4"/>
    <x v="0"/>
    <n v="0"/>
    <x v="21"/>
    <n v="3"/>
    <x v="1"/>
    <x v="11"/>
    <x v="3"/>
    <x v="0"/>
    <x v="3"/>
  </r>
  <r>
    <x v="31"/>
    <x v="1"/>
    <s v="Travel_Frequently"/>
    <n v="237"/>
    <x v="0"/>
    <n v="9"/>
    <n v="3"/>
    <s v="Life Sciences"/>
    <n v="1"/>
    <n v="1282"/>
    <x v="2"/>
    <x v="1"/>
    <x v="21"/>
    <x v="0"/>
    <x v="4"/>
    <x v="5"/>
    <x v="1"/>
    <x v="2"/>
    <x v="865"/>
    <x v="905"/>
    <x v="5"/>
    <s v="Y"/>
    <s v="Yes"/>
    <x v="13"/>
    <x v="1"/>
    <n v="1"/>
    <x v="0"/>
    <n v="1"/>
    <x v="9"/>
    <n v="5"/>
    <x v="2"/>
    <x v="30"/>
    <x v="15"/>
    <x v="14"/>
    <x v="13"/>
  </r>
  <r>
    <x v="6"/>
    <x v="1"/>
    <s v="Travel_Rarely"/>
    <n v="1429"/>
    <x v="1"/>
    <n v="18"/>
    <n v="4"/>
    <s v="Medical"/>
    <n v="1"/>
    <n v="1283"/>
    <x v="2"/>
    <x v="1"/>
    <x v="7"/>
    <x v="0"/>
    <x v="2"/>
    <x v="3"/>
    <x v="0"/>
    <x v="0"/>
    <x v="866"/>
    <x v="906"/>
    <x v="2"/>
    <s v="Y"/>
    <s v="No"/>
    <x v="3"/>
    <x v="0"/>
    <n v="4"/>
    <x v="0"/>
    <n v="0"/>
    <x v="25"/>
    <n v="6"/>
    <x v="2"/>
    <x v="7"/>
    <x v="1"/>
    <x v="8"/>
    <x v="10"/>
  </r>
  <r>
    <x v="13"/>
    <x v="1"/>
    <s v="Travel_Frequently"/>
    <n v="135"/>
    <x v="1"/>
    <n v="19"/>
    <n v="3"/>
    <s v="Medical"/>
    <n v="1"/>
    <n v="1285"/>
    <x v="1"/>
    <x v="0"/>
    <x v="55"/>
    <x v="0"/>
    <x v="0"/>
    <x v="2"/>
    <x v="1"/>
    <x v="2"/>
    <x v="867"/>
    <x v="907"/>
    <x v="5"/>
    <s v="Y"/>
    <s v="No"/>
    <x v="4"/>
    <x v="0"/>
    <n v="3"/>
    <x v="0"/>
    <n v="2"/>
    <x v="20"/>
    <n v="2"/>
    <x v="3"/>
    <x v="19"/>
    <x v="6"/>
    <x v="8"/>
    <x v="13"/>
  </r>
  <r>
    <x v="14"/>
    <x v="1"/>
    <s v="Travel_Frequently"/>
    <n v="791"/>
    <x v="1"/>
    <n v="1"/>
    <n v="4"/>
    <s v="Medical"/>
    <n v="1"/>
    <n v="1286"/>
    <x v="2"/>
    <x v="1"/>
    <x v="8"/>
    <x v="0"/>
    <x v="1"/>
    <x v="2"/>
    <x v="2"/>
    <x v="0"/>
    <x v="868"/>
    <x v="908"/>
    <x v="4"/>
    <s v="Y"/>
    <s v="Yes"/>
    <x v="0"/>
    <x v="0"/>
    <n v="3"/>
    <x v="0"/>
    <n v="0"/>
    <x v="7"/>
    <n v="2"/>
    <x v="2"/>
    <x v="9"/>
    <x v="3"/>
    <x v="0"/>
    <x v="3"/>
  </r>
  <r>
    <x v="20"/>
    <x v="1"/>
    <s v="Travel_Rarely"/>
    <n v="1199"/>
    <x v="1"/>
    <n v="4"/>
    <n v="2"/>
    <s v="Life Sciences"/>
    <n v="1"/>
    <n v="1288"/>
    <x v="1"/>
    <x v="1"/>
    <x v="2"/>
    <x v="2"/>
    <x v="4"/>
    <x v="5"/>
    <x v="3"/>
    <x v="2"/>
    <x v="869"/>
    <x v="909"/>
    <x v="1"/>
    <s v="Y"/>
    <s v="No"/>
    <x v="9"/>
    <x v="0"/>
    <n v="4"/>
    <x v="0"/>
    <n v="2"/>
    <x v="12"/>
    <n v="4"/>
    <x v="2"/>
    <x v="10"/>
    <x v="5"/>
    <x v="15"/>
    <x v="15"/>
  </r>
  <r>
    <x v="13"/>
    <x v="1"/>
    <s v="Travel_Frequently"/>
    <n v="648"/>
    <x v="2"/>
    <n v="11"/>
    <n v="3"/>
    <s v="Life Sciences"/>
    <n v="1"/>
    <n v="1289"/>
    <x v="1"/>
    <x v="1"/>
    <x v="3"/>
    <x v="1"/>
    <x v="0"/>
    <x v="8"/>
    <x v="1"/>
    <x v="1"/>
    <x v="870"/>
    <x v="910"/>
    <x v="5"/>
    <s v="Y"/>
    <s v="No"/>
    <x v="0"/>
    <x v="0"/>
    <n v="4"/>
    <x v="0"/>
    <n v="2"/>
    <x v="19"/>
    <n v="5"/>
    <x v="3"/>
    <x v="1"/>
    <x v="5"/>
    <x v="1"/>
    <x v="5"/>
  </r>
  <r>
    <x v="10"/>
    <x v="1"/>
    <s v="Travel_Rarely"/>
    <n v="735"/>
    <x v="1"/>
    <n v="6"/>
    <n v="1"/>
    <s v="Life Sciences"/>
    <n v="1"/>
    <n v="1291"/>
    <x v="1"/>
    <x v="1"/>
    <x v="45"/>
    <x v="0"/>
    <x v="1"/>
    <x v="1"/>
    <x v="2"/>
    <x v="1"/>
    <x v="871"/>
    <x v="911"/>
    <x v="4"/>
    <s v="Y"/>
    <s v="Yes"/>
    <x v="9"/>
    <x v="0"/>
    <n v="4"/>
    <x v="0"/>
    <n v="0"/>
    <x v="21"/>
    <n v="3"/>
    <x v="1"/>
    <x v="11"/>
    <x v="3"/>
    <x v="3"/>
    <x v="3"/>
  </r>
  <r>
    <x v="19"/>
    <x v="1"/>
    <s v="Travel_Rarely"/>
    <n v="603"/>
    <x v="1"/>
    <n v="7"/>
    <n v="4"/>
    <s v="Medical"/>
    <n v="1"/>
    <n v="1292"/>
    <x v="0"/>
    <x v="0"/>
    <x v="17"/>
    <x v="2"/>
    <x v="0"/>
    <x v="1"/>
    <x v="1"/>
    <x v="1"/>
    <x v="872"/>
    <x v="912"/>
    <x v="2"/>
    <s v="Y"/>
    <s v="Yes"/>
    <x v="10"/>
    <x v="0"/>
    <n v="4"/>
    <x v="0"/>
    <n v="0"/>
    <x v="33"/>
    <n v="2"/>
    <x v="1"/>
    <x v="6"/>
    <x v="2"/>
    <x v="0"/>
    <x v="2"/>
  </r>
  <r>
    <x v="23"/>
    <x v="1"/>
    <s v="Travel_Rarely"/>
    <n v="531"/>
    <x v="0"/>
    <n v="4"/>
    <n v="4"/>
    <s v="Marketing"/>
    <n v="1"/>
    <n v="1293"/>
    <x v="2"/>
    <x v="0"/>
    <x v="3"/>
    <x v="1"/>
    <x v="2"/>
    <x v="0"/>
    <x v="0"/>
    <x v="0"/>
    <x v="873"/>
    <x v="445"/>
    <x v="9"/>
    <s v="Y"/>
    <s v="No"/>
    <x v="9"/>
    <x v="0"/>
    <n v="4"/>
    <x v="0"/>
    <n v="0"/>
    <x v="18"/>
    <n v="3"/>
    <x v="3"/>
    <x v="17"/>
    <x v="1"/>
    <x v="9"/>
    <x v="8"/>
  </r>
  <r>
    <x v="9"/>
    <x v="1"/>
    <s v="Travel_Rarely"/>
    <n v="429"/>
    <x v="1"/>
    <n v="2"/>
    <n v="4"/>
    <s v="Life Sciences"/>
    <n v="1"/>
    <n v="1294"/>
    <x v="1"/>
    <x v="0"/>
    <x v="20"/>
    <x v="0"/>
    <x v="0"/>
    <x v="3"/>
    <x v="1"/>
    <x v="0"/>
    <x v="874"/>
    <x v="913"/>
    <x v="3"/>
    <s v="Y"/>
    <s v="Yes"/>
    <x v="0"/>
    <x v="0"/>
    <n v="4"/>
    <x v="0"/>
    <n v="0"/>
    <x v="33"/>
    <n v="2"/>
    <x v="1"/>
    <x v="22"/>
    <x v="12"/>
    <x v="8"/>
    <x v="11"/>
  </r>
  <r>
    <x v="20"/>
    <x v="0"/>
    <s v="Travel_Rarely"/>
    <n v="621"/>
    <x v="1"/>
    <n v="15"/>
    <n v="3"/>
    <s v="Medical"/>
    <n v="1"/>
    <n v="1295"/>
    <x v="3"/>
    <x v="0"/>
    <x v="32"/>
    <x v="0"/>
    <x v="2"/>
    <x v="4"/>
    <x v="0"/>
    <x v="1"/>
    <x v="875"/>
    <x v="914"/>
    <x v="1"/>
    <s v="Y"/>
    <s v="No"/>
    <x v="0"/>
    <x v="0"/>
    <n v="4"/>
    <x v="0"/>
    <n v="1"/>
    <x v="1"/>
    <n v="2"/>
    <x v="1"/>
    <x v="1"/>
    <x v="1"/>
    <x v="0"/>
    <x v="0"/>
  </r>
  <r>
    <x v="14"/>
    <x v="1"/>
    <s v="Travel_Frequently"/>
    <n v="193"/>
    <x v="1"/>
    <n v="2"/>
    <n v="3"/>
    <s v="Life Sciences"/>
    <n v="1"/>
    <n v="1296"/>
    <x v="2"/>
    <x v="1"/>
    <x v="48"/>
    <x v="1"/>
    <x v="1"/>
    <x v="2"/>
    <x v="0"/>
    <x v="1"/>
    <x v="876"/>
    <x v="915"/>
    <x v="1"/>
    <s v="Y"/>
    <s v="Yes"/>
    <x v="3"/>
    <x v="0"/>
    <n v="2"/>
    <x v="0"/>
    <n v="1"/>
    <x v="17"/>
    <n v="2"/>
    <x v="1"/>
    <x v="4"/>
    <x v="3"/>
    <x v="3"/>
    <x v="3"/>
  </r>
  <r>
    <x v="31"/>
    <x v="1"/>
    <s v="Travel_Frequently"/>
    <n v="968"/>
    <x v="1"/>
    <n v="6"/>
    <n v="2"/>
    <s v="Medical"/>
    <n v="1"/>
    <n v="1297"/>
    <x v="0"/>
    <x v="0"/>
    <x v="4"/>
    <x v="1"/>
    <x v="1"/>
    <x v="2"/>
    <x v="2"/>
    <x v="0"/>
    <x v="877"/>
    <x v="916"/>
    <x v="4"/>
    <s v="Y"/>
    <s v="No"/>
    <x v="9"/>
    <x v="0"/>
    <n v="2"/>
    <x v="0"/>
    <n v="0"/>
    <x v="0"/>
    <n v="6"/>
    <x v="2"/>
    <x v="5"/>
    <x v="2"/>
    <x v="4"/>
    <x v="1"/>
  </r>
  <r>
    <x v="7"/>
    <x v="1"/>
    <s v="Non-Travel"/>
    <n v="879"/>
    <x v="1"/>
    <n v="9"/>
    <n v="2"/>
    <s v="Medical"/>
    <n v="1"/>
    <n v="1298"/>
    <x v="1"/>
    <x v="0"/>
    <x v="23"/>
    <x v="0"/>
    <x v="0"/>
    <x v="3"/>
    <x v="2"/>
    <x v="0"/>
    <x v="878"/>
    <x v="865"/>
    <x v="8"/>
    <s v="Y"/>
    <s v="Yes"/>
    <x v="11"/>
    <x v="0"/>
    <n v="3"/>
    <x v="0"/>
    <n v="0"/>
    <x v="1"/>
    <n v="3"/>
    <x v="1"/>
    <x v="3"/>
    <x v="0"/>
    <x v="1"/>
    <x v="1"/>
  </r>
  <r>
    <x v="11"/>
    <x v="0"/>
    <s v="Travel_Rarely"/>
    <n v="806"/>
    <x v="1"/>
    <n v="7"/>
    <n v="3"/>
    <s v="Technical Degree"/>
    <n v="1"/>
    <n v="1299"/>
    <x v="0"/>
    <x v="0"/>
    <x v="56"/>
    <x v="0"/>
    <x v="1"/>
    <x v="2"/>
    <x v="2"/>
    <x v="2"/>
    <x v="879"/>
    <x v="917"/>
    <x v="9"/>
    <s v="Y"/>
    <s v="Yes"/>
    <x v="4"/>
    <x v="0"/>
    <n v="1"/>
    <x v="0"/>
    <n v="2"/>
    <x v="1"/>
    <n v="2"/>
    <x v="1"/>
    <x v="5"/>
    <x v="1"/>
    <x v="4"/>
    <x v="1"/>
  </r>
  <r>
    <x v="14"/>
    <x v="1"/>
    <s v="Travel_Rarely"/>
    <n v="640"/>
    <x v="1"/>
    <n v="1"/>
    <n v="3"/>
    <s v="Technical Degree"/>
    <n v="1"/>
    <n v="1301"/>
    <x v="2"/>
    <x v="1"/>
    <x v="9"/>
    <x v="0"/>
    <x v="1"/>
    <x v="1"/>
    <x v="3"/>
    <x v="0"/>
    <x v="880"/>
    <x v="918"/>
    <x v="7"/>
    <s v="Y"/>
    <s v="No"/>
    <x v="0"/>
    <x v="0"/>
    <n v="2"/>
    <x v="0"/>
    <n v="0"/>
    <x v="7"/>
    <n v="2"/>
    <x v="2"/>
    <x v="11"/>
    <x v="3"/>
    <x v="1"/>
    <x v="3"/>
  </r>
  <r>
    <x v="36"/>
    <x v="1"/>
    <s v="Travel_Rarely"/>
    <n v="266"/>
    <x v="1"/>
    <n v="1"/>
    <n v="3"/>
    <s v="Medical"/>
    <n v="1"/>
    <n v="1303"/>
    <x v="2"/>
    <x v="0"/>
    <x v="4"/>
    <x v="0"/>
    <x v="1"/>
    <x v="1"/>
    <x v="1"/>
    <x v="0"/>
    <x v="461"/>
    <x v="919"/>
    <x v="1"/>
    <s v="Y"/>
    <s v="No"/>
    <x v="11"/>
    <x v="0"/>
    <n v="4"/>
    <x v="0"/>
    <n v="0"/>
    <x v="17"/>
    <n v="3"/>
    <x v="2"/>
    <x v="4"/>
    <x v="3"/>
    <x v="3"/>
    <x v="9"/>
  </r>
  <r>
    <x v="5"/>
    <x v="1"/>
    <s v="Travel_Rarely"/>
    <n v="604"/>
    <x v="0"/>
    <n v="8"/>
    <n v="3"/>
    <s v="Medical"/>
    <n v="1"/>
    <n v="1304"/>
    <x v="1"/>
    <x v="1"/>
    <x v="3"/>
    <x v="2"/>
    <x v="0"/>
    <x v="0"/>
    <x v="0"/>
    <x v="1"/>
    <x v="881"/>
    <x v="920"/>
    <x v="1"/>
    <s v="Y"/>
    <s v="No"/>
    <x v="2"/>
    <x v="0"/>
    <n v="3"/>
    <x v="0"/>
    <n v="2"/>
    <x v="1"/>
    <n v="4"/>
    <x v="3"/>
    <x v="1"/>
    <x v="1"/>
    <x v="0"/>
    <x v="5"/>
  </r>
  <r>
    <x v="28"/>
    <x v="1"/>
    <s v="Travel_Frequently"/>
    <n v="364"/>
    <x v="1"/>
    <n v="25"/>
    <n v="3"/>
    <s v="Medical"/>
    <n v="1"/>
    <n v="1306"/>
    <x v="0"/>
    <x v="0"/>
    <x v="21"/>
    <x v="0"/>
    <x v="4"/>
    <x v="5"/>
    <x v="1"/>
    <x v="0"/>
    <x v="882"/>
    <x v="921"/>
    <x v="9"/>
    <s v="Y"/>
    <s v="No"/>
    <x v="6"/>
    <x v="1"/>
    <n v="3"/>
    <x v="0"/>
    <n v="0"/>
    <x v="14"/>
    <n v="4"/>
    <x v="1"/>
    <x v="2"/>
    <x v="2"/>
    <x v="0"/>
    <x v="2"/>
  </r>
  <r>
    <x v="22"/>
    <x v="1"/>
    <s v="Travel_Rarely"/>
    <n v="412"/>
    <x v="1"/>
    <n v="13"/>
    <n v="4"/>
    <s v="Medical"/>
    <n v="1"/>
    <n v="1307"/>
    <x v="1"/>
    <x v="0"/>
    <x v="0"/>
    <x v="1"/>
    <x v="3"/>
    <x v="5"/>
    <x v="1"/>
    <x v="2"/>
    <x v="883"/>
    <x v="922"/>
    <x v="2"/>
    <s v="Y"/>
    <s v="Yes"/>
    <x v="4"/>
    <x v="0"/>
    <n v="4"/>
    <x v="0"/>
    <n v="2"/>
    <x v="24"/>
    <n v="4"/>
    <x v="1"/>
    <x v="27"/>
    <x v="5"/>
    <x v="9"/>
    <x v="3"/>
  </r>
  <r>
    <x v="34"/>
    <x v="1"/>
    <s v="Travel_Rarely"/>
    <n v="848"/>
    <x v="1"/>
    <n v="23"/>
    <n v="4"/>
    <s v="Life Sciences"/>
    <n v="1"/>
    <n v="1308"/>
    <x v="3"/>
    <x v="1"/>
    <x v="64"/>
    <x v="0"/>
    <x v="1"/>
    <x v="1"/>
    <x v="2"/>
    <x v="2"/>
    <x v="872"/>
    <x v="923"/>
    <x v="1"/>
    <s v="Y"/>
    <s v="No"/>
    <x v="3"/>
    <x v="0"/>
    <n v="4"/>
    <x v="0"/>
    <n v="2"/>
    <x v="17"/>
    <n v="3"/>
    <x v="1"/>
    <x v="4"/>
    <x v="3"/>
    <x v="3"/>
    <x v="3"/>
  </r>
  <r>
    <x v="5"/>
    <x v="0"/>
    <s v="Travel_Rarely"/>
    <n v="1089"/>
    <x v="1"/>
    <n v="7"/>
    <n v="2"/>
    <s v="Life Sciences"/>
    <n v="1"/>
    <n v="1309"/>
    <x v="2"/>
    <x v="1"/>
    <x v="5"/>
    <x v="0"/>
    <x v="0"/>
    <x v="2"/>
    <x v="2"/>
    <x v="1"/>
    <x v="884"/>
    <x v="924"/>
    <x v="1"/>
    <s v="Y"/>
    <s v="No"/>
    <x v="11"/>
    <x v="0"/>
    <n v="1"/>
    <x v="0"/>
    <n v="1"/>
    <x v="1"/>
    <n v="3"/>
    <x v="1"/>
    <x v="1"/>
    <x v="0"/>
    <x v="1"/>
    <x v="9"/>
  </r>
  <r>
    <x v="22"/>
    <x v="0"/>
    <s v="Travel_Rarely"/>
    <n v="360"/>
    <x v="1"/>
    <n v="23"/>
    <n v="3"/>
    <s v="Medical"/>
    <n v="1"/>
    <n v="1310"/>
    <x v="1"/>
    <x v="1"/>
    <x v="12"/>
    <x v="0"/>
    <x v="1"/>
    <x v="1"/>
    <x v="3"/>
    <x v="0"/>
    <x v="885"/>
    <x v="925"/>
    <x v="4"/>
    <s v="Y"/>
    <s v="No"/>
    <x v="4"/>
    <x v="0"/>
    <n v="1"/>
    <x v="0"/>
    <n v="0"/>
    <x v="3"/>
    <n v="2"/>
    <x v="1"/>
    <x v="8"/>
    <x v="3"/>
    <x v="0"/>
    <x v="6"/>
  </r>
  <r>
    <x v="7"/>
    <x v="1"/>
    <s v="Travel_Rarely"/>
    <n v="1138"/>
    <x v="1"/>
    <n v="6"/>
    <n v="3"/>
    <s v="Technical Degree"/>
    <n v="1"/>
    <n v="1311"/>
    <x v="3"/>
    <x v="0"/>
    <x v="24"/>
    <x v="1"/>
    <x v="0"/>
    <x v="2"/>
    <x v="0"/>
    <x v="1"/>
    <x v="886"/>
    <x v="926"/>
    <x v="4"/>
    <s v="Y"/>
    <s v="No"/>
    <x v="3"/>
    <x v="0"/>
    <n v="1"/>
    <x v="0"/>
    <n v="1"/>
    <x v="1"/>
    <n v="6"/>
    <x v="1"/>
    <x v="7"/>
    <x v="3"/>
    <x v="7"/>
    <x v="1"/>
  </r>
  <r>
    <x v="9"/>
    <x v="1"/>
    <s v="Travel_Rarely"/>
    <n v="325"/>
    <x v="1"/>
    <n v="10"/>
    <n v="4"/>
    <s v="Technical Degree"/>
    <n v="1"/>
    <n v="1312"/>
    <x v="2"/>
    <x v="0"/>
    <x v="52"/>
    <x v="0"/>
    <x v="2"/>
    <x v="4"/>
    <x v="2"/>
    <x v="1"/>
    <x v="887"/>
    <x v="927"/>
    <x v="9"/>
    <s v="Y"/>
    <s v="No"/>
    <x v="3"/>
    <x v="0"/>
    <n v="1"/>
    <x v="0"/>
    <n v="0"/>
    <x v="1"/>
    <n v="0"/>
    <x v="1"/>
    <x v="5"/>
    <x v="1"/>
    <x v="1"/>
    <x v="1"/>
  </r>
  <r>
    <x v="21"/>
    <x v="1"/>
    <s v="Travel_Rarely"/>
    <n v="991"/>
    <x v="2"/>
    <n v="1"/>
    <n v="2"/>
    <s v="Life Sciences"/>
    <n v="1"/>
    <n v="1314"/>
    <x v="2"/>
    <x v="0"/>
    <x v="8"/>
    <x v="0"/>
    <x v="1"/>
    <x v="8"/>
    <x v="3"/>
    <x v="0"/>
    <x v="888"/>
    <x v="928"/>
    <x v="2"/>
    <s v="Y"/>
    <s v="No"/>
    <x v="3"/>
    <x v="0"/>
    <n v="3"/>
    <x v="0"/>
    <n v="0"/>
    <x v="1"/>
    <n v="3"/>
    <x v="3"/>
    <x v="5"/>
    <x v="8"/>
    <x v="8"/>
    <x v="1"/>
  </r>
  <r>
    <x v="14"/>
    <x v="1"/>
    <s v="Non-Travel"/>
    <n v="1476"/>
    <x v="1"/>
    <n v="1"/>
    <n v="3"/>
    <s v="Life Sciences"/>
    <n v="1"/>
    <n v="1315"/>
    <x v="1"/>
    <x v="0"/>
    <x v="46"/>
    <x v="3"/>
    <x v="0"/>
    <x v="2"/>
    <x v="0"/>
    <x v="1"/>
    <x v="889"/>
    <x v="929"/>
    <x v="4"/>
    <s v="Y"/>
    <s v="No"/>
    <x v="0"/>
    <x v="0"/>
    <n v="1"/>
    <x v="0"/>
    <n v="3"/>
    <x v="1"/>
    <n v="6"/>
    <x v="1"/>
    <x v="7"/>
    <x v="6"/>
    <x v="4"/>
    <x v="0"/>
  </r>
  <r>
    <x v="24"/>
    <x v="1"/>
    <s v="Travel_Rarely"/>
    <n v="1322"/>
    <x v="1"/>
    <n v="28"/>
    <n v="3"/>
    <s v="Life Sciences"/>
    <n v="1"/>
    <n v="1317"/>
    <x v="2"/>
    <x v="0"/>
    <x v="38"/>
    <x v="0"/>
    <x v="3"/>
    <x v="7"/>
    <x v="3"/>
    <x v="1"/>
    <x v="890"/>
    <x v="930"/>
    <x v="5"/>
    <s v="Y"/>
    <s v="Yes"/>
    <x v="0"/>
    <x v="0"/>
    <n v="2"/>
    <x v="0"/>
    <n v="0"/>
    <x v="25"/>
    <n v="2"/>
    <x v="1"/>
    <x v="11"/>
    <x v="3"/>
    <x v="1"/>
    <x v="3"/>
  </r>
  <r>
    <x v="32"/>
    <x v="0"/>
    <s v="Travel_Rarely"/>
    <n v="299"/>
    <x v="0"/>
    <n v="25"/>
    <n v="4"/>
    <s v="Marketing"/>
    <n v="1"/>
    <n v="1318"/>
    <x v="2"/>
    <x v="1"/>
    <x v="42"/>
    <x v="1"/>
    <x v="2"/>
    <x v="0"/>
    <x v="1"/>
    <x v="0"/>
    <x v="891"/>
    <x v="931"/>
    <x v="7"/>
    <s v="Y"/>
    <s v="Yes"/>
    <x v="3"/>
    <x v="0"/>
    <n v="3"/>
    <x v="0"/>
    <n v="0"/>
    <x v="15"/>
    <n v="2"/>
    <x v="1"/>
    <x v="8"/>
    <x v="0"/>
    <x v="1"/>
    <x v="2"/>
  </r>
  <r>
    <x v="39"/>
    <x v="0"/>
    <s v="Travel_Rarely"/>
    <n v="1030"/>
    <x v="0"/>
    <n v="5"/>
    <n v="3"/>
    <s v="Life Sciences"/>
    <n v="1"/>
    <n v="1319"/>
    <x v="0"/>
    <x v="1"/>
    <x v="51"/>
    <x v="0"/>
    <x v="2"/>
    <x v="0"/>
    <x v="1"/>
    <x v="0"/>
    <x v="892"/>
    <x v="932"/>
    <x v="3"/>
    <s v="Y"/>
    <s v="Yes"/>
    <x v="12"/>
    <x v="0"/>
    <n v="3"/>
    <x v="0"/>
    <n v="0"/>
    <x v="1"/>
    <n v="2"/>
    <x v="2"/>
    <x v="3"/>
    <x v="1"/>
    <x v="4"/>
    <x v="1"/>
  </r>
  <r>
    <x v="7"/>
    <x v="1"/>
    <s v="Travel_Rarely"/>
    <n v="634"/>
    <x v="1"/>
    <n v="17"/>
    <n v="4"/>
    <s v="Medical"/>
    <n v="1"/>
    <n v="1321"/>
    <x v="0"/>
    <x v="0"/>
    <x v="41"/>
    <x v="0"/>
    <x v="2"/>
    <x v="5"/>
    <x v="3"/>
    <x v="1"/>
    <x v="893"/>
    <x v="933"/>
    <x v="1"/>
    <s v="Y"/>
    <s v="Yes"/>
    <x v="1"/>
    <x v="1"/>
    <n v="4"/>
    <x v="0"/>
    <n v="2"/>
    <x v="15"/>
    <n v="2"/>
    <x v="1"/>
    <x v="7"/>
    <x v="10"/>
    <x v="0"/>
    <x v="5"/>
  </r>
  <r>
    <x v="22"/>
    <x v="1"/>
    <s v="Travel_Rarely"/>
    <n v="524"/>
    <x v="1"/>
    <n v="18"/>
    <n v="2"/>
    <s v="Life Sciences"/>
    <n v="1"/>
    <n v="1322"/>
    <x v="3"/>
    <x v="1"/>
    <x v="47"/>
    <x v="0"/>
    <x v="0"/>
    <x v="3"/>
    <x v="2"/>
    <x v="0"/>
    <x v="894"/>
    <x v="934"/>
    <x v="4"/>
    <s v="Y"/>
    <s v="No"/>
    <x v="0"/>
    <x v="0"/>
    <n v="1"/>
    <x v="0"/>
    <n v="0"/>
    <x v="15"/>
    <n v="6"/>
    <x v="1"/>
    <x v="3"/>
    <x v="1"/>
    <x v="1"/>
    <x v="1"/>
  </r>
  <r>
    <x v="12"/>
    <x v="1"/>
    <s v="Non-Travel"/>
    <n v="587"/>
    <x v="0"/>
    <n v="2"/>
    <n v="4"/>
    <s v="Life Sciences"/>
    <n v="1"/>
    <n v="1324"/>
    <x v="2"/>
    <x v="0"/>
    <x v="42"/>
    <x v="0"/>
    <x v="2"/>
    <x v="0"/>
    <x v="2"/>
    <x v="2"/>
    <x v="895"/>
    <x v="935"/>
    <x v="1"/>
    <s v="Y"/>
    <s v="Yes"/>
    <x v="12"/>
    <x v="0"/>
    <n v="1"/>
    <x v="0"/>
    <n v="1"/>
    <x v="1"/>
    <n v="5"/>
    <x v="2"/>
    <x v="1"/>
    <x v="6"/>
    <x v="10"/>
    <x v="4"/>
  </r>
  <r>
    <x v="0"/>
    <x v="1"/>
    <s v="Non-Travel"/>
    <n v="256"/>
    <x v="0"/>
    <n v="10"/>
    <n v="2"/>
    <s v="Medical"/>
    <n v="1"/>
    <n v="1329"/>
    <x v="1"/>
    <x v="1"/>
    <x v="4"/>
    <x v="3"/>
    <x v="0"/>
    <x v="0"/>
    <x v="1"/>
    <x v="0"/>
    <x v="896"/>
    <x v="936"/>
    <x v="1"/>
    <s v="Y"/>
    <s v="No"/>
    <x v="4"/>
    <x v="0"/>
    <n v="1"/>
    <x v="0"/>
    <n v="0"/>
    <x v="16"/>
    <n v="4"/>
    <x v="1"/>
    <x v="27"/>
    <x v="3"/>
    <x v="14"/>
    <x v="12"/>
  </r>
  <r>
    <x v="12"/>
    <x v="0"/>
    <s v="Travel_Frequently"/>
    <n v="1060"/>
    <x v="0"/>
    <n v="1"/>
    <n v="3"/>
    <s v="Life Sciences"/>
    <n v="1"/>
    <n v="1331"/>
    <x v="2"/>
    <x v="0"/>
    <x v="60"/>
    <x v="0"/>
    <x v="1"/>
    <x v="6"/>
    <x v="1"/>
    <x v="0"/>
    <x v="897"/>
    <x v="937"/>
    <x v="1"/>
    <s v="Y"/>
    <s v="Yes"/>
    <x v="0"/>
    <x v="0"/>
    <n v="1"/>
    <x v="0"/>
    <n v="0"/>
    <x v="8"/>
    <n v="2"/>
    <x v="3"/>
    <x v="11"/>
    <x v="3"/>
    <x v="3"/>
    <x v="3"/>
  </r>
  <r>
    <x v="20"/>
    <x v="0"/>
    <s v="Travel_Rarely"/>
    <n v="935"/>
    <x v="1"/>
    <n v="3"/>
    <n v="3"/>
    <s v="Life Sciences"/>
    <n v="1"/>
    <n v="1333"/>
    <x v="3"/>
    <x v="1"/>
    <x v="66"/>
    <x v="0"/>
    <x v="1"/>
    <x v="2"/>
    <x v="3"/>
    <x v="1"/>
    <x v="898"/>
    <x v="938"/>
    <x v="5"/>
    <s v="Y"/>
    <s v="No"/>
    <x v="3"/>
    <x v="0"/>
    <n v="3"/>
    <x v="0"/>
    <n v="0"/>
    <x v="1"/>
    <n v="4"/>
    <x v="3"/>
    <x v="11"/>
    <x v="3"/>
    <x v="1"/>
    <x v="3"/>
  </r>
  <r>
    <x v="19"/>
    <x v="1"/>
    <s v="Non-Travel"/>
    <n v="495"/>
    <x v="1"/>
    <n v="2"/>
    <n v="1"/>
    <s v="Life Sciences"/>
    <n v="1"/>
    <n v="1334"/>
    <x v="1"/>
    <x v="1"/>
    <x v="31"/>
    <x v="0"/>
    <x v="3"/>
    <x v="5"/>
    <x v="2"/>
    <x v="1"/>
    <x v="417"/>
    <x v="939"/>
    <x v="4"/>
    <s v="Y"/>
    <s v="Yes"/>
    <x v="4"/>
    <x v="0"/>
    <n v="4"/>
    <x v="0"/>
    <n v="0"/>
    <x v="24"/>
    <n v="3"/>
    <x v="2"/>
    <x v="23"/>
    <x v="6"/>
    <x v="3"/>
    <x v="13"/>
  </r>
  <r>
    <x v="27"/>
    <x v="1"/>
    <s v="Travel_Rarely"/>
    <n v="282"/>
    <x v="1"/>
    <n v="2"/>
    <n v="2"/>
    <s v="Medical"/>
    <n v="1"/>
    <n v="1336"/>
    <x v="2"/>
    <x v="0"/>
    <x v="22"/>
    <x v="3"/>
    <x v="4"/>
    <x v="5"/>
    <x v="2"/>
    <x v="1"/>
    <x v="899"/>
    <x v="940"/>
    <x v="5"/>
    <s v="Y"/>
    <s v="No"/>
    <x v="9"/>
    <x v="0"/>
    <n v="4"/>
    <x v="0"/>
    <n v="1"/>
    <x v="18"/>
    <n v="5"/>
    <x v="1"/>
    <x v="27"/>
    <x v="5"/>
    <x v="10"/>
    <x v="7"/>
  </r>
  <r>
    <x v="29"/>
    <x v="1"/>
    <s v="Travel_Rarely"/>
    <n v="206"/>
    <x v="2"/>
    <n v="8"/>
    <n v="4"/>
    <s v="Life Sciences"/>
    <n v="1"/>
    <n v="1338"/>
    <x v="2"/>
    <x v="1"/>
    <x v="39"/>
    <x v="0"/>
    <x v="4"/>
    <x v="5"/>
    <x v="1"/>
    <x v="0"/>
    <x v="900"/>
    <x v="941"/>
    <x v="2"/>
    <s v="Y"/>
    <s v="No"/>
    <x v="9"/>
    <x v="0"/>
    <n v="1"/>
    <x v="0"/>
    <n v="0"/>
    <x v="34"/>
    <n v="4"/>
    <x v="1"/>
    <x v="5"/>
    <x v="7"/>
    <x v="4"/>
    <x v="1"/>
  </r>
  <r>
    <x v="32"/>
    <x v="1"/>
    <s v="Non-Travel"/>
    <n v="458"/>
    <x v="1"/>
    <n v="16"/>
    <n v="2"/>
    <s v="Life Sciences"/>
    <n v="1"/>
    <n v="1340"/>
    <x v="1"/>
    <x v="1"/>
    <x v="69"/>
    <x v="0"/>
    <x v="1"/>
    <x v="1"/>
    <x v="2"/>
    <x v="2"/>
    <x v="901"/>
    <x v="942"/>
    <x v="3"/>
    <s v="Y"/>
    <s v="No"/>
    <x v="10"/>
    <x v="0"/>
    <n v="2"/>
    <x v="0"/>
    <n v="1"/>
    <x v="3"/>
    <n v="0"/>
    <x v="1"/>
    <x v="9"/>
    <x v="3"/>
    <x v="0"/>
    <x v="2"/>
  </r>
  <r>
    <x v="13"/>
    <x v="1"/>
    <s v="Travel_Rarely"/>
    <n v="943"/>
    <x v="1"/>
    <n v="9"/>
    <n v="3"/>
    <s v="Life Sciences"/>
    <n v="1"/>
    <n v="1344"/>
    <x v="2"/>
    <x v="1"/>
    <x v="27"/>
    <x v="0"/>
    <x v="2"/>
    <x v="4"/>
    <x v="0"/>
    <x v="2"/>
    <x v="902"/>
    <x v="943"/>
    <x v="4"/>
    <s v="Y"/>
    <s v="No"/>
    <x v="0"/>
    <x v="0"/>
    <n v="4"/>
    <x v="0"/>
    <n v="1"/>
    <x v="1"/>
    <n v="0"/>
    <x v="2"/>
    <x v="7"/>
    <x v="1"/>
    <x v="1"/>
    <x v="4"/>
  </r>
  <r>
    <x v="32"/>
    <x v="1"/>
    <s v="Travel_Rarely"/>
    <n v="523"/>
    <x v="1"/>
    <n v="2"/>
    <n v="3"/>
    <s v="Life Sciences"/>
    <n v="1"/>
    <n v="1346"/>
    <x v="1"/>
    <x v="1"/>
    <x v="33"/>
    <x v="0"/>
    <x v="0"/>
    <x v="1"/>
    <x v="0"/>
    <x v="0"/>
    <x v="903"/>
    <x v="944"/>
    <x v="1"/>
    <s v="Y"/>
    <s v="No"/>
    <x v="4"/>
    <x v="0"/>
    <n v="3"/>
    <x v="0"/>
    <n v="0"/>
    <x v="15"/>
    <n v="4"/>
    <x v="1"/>
    <x v="7"/>
    <x v="6"/>
    <x v="6"/>
    <x v="5"/>
  </r>
  <r>
    <x v="0"/>
    <x v="1"/>
    <s v="Travel_Frequently"/>
    <n v="1018"/>
    <x v="0"/>
    <n v="1"/>
    <n v="3"/>
    <s v="Marketing"/>
    <n v="1"/>
    <n v="1349"/>
    <x v="1"/>
    <x v="0"/>
    <x v="45"/>
    <x v="0"/>
    <x v="0"/>
    <x v="0"/>
    <x v="3"/>
    <x v="2"/>
    <x v="904"/>
    <x v="945"/>
    <x v="4"/>
    <s v="Y"/>
    <s v="No"/>
    <x v="8"/>
    <x v="0"/>
    <n v="4"/>
    <x v="0"/>
    <n v="1"/>
    <x v="1"/>
    <n v="2"/>
    <x v="1"/>
    <x v="7"/>
    <x v="7"/>
    <x v="1"/>
    <x v="1"/>
  </r>
  <r>
    <x v="10"/>
    <x v="1"/>
    <s v="Travel_Frequently"/>
    <n v="482"/>
    <x v="1"/>
    <n v="4"/>
    <n v="4"/>
    <s v="Life Sciences"/>
    <n v="1"/>
    <n v="1350"/>
    <x v="1"/>
    <x v="1"/>
    <x v="44"/>
    <x v="0"/>
    <x v="0"/>
    <x v="1"/>
    <x v="2"/>
    <x v="0"/>
    <x v="905"/>
    <x v="946"/>
    <x v="1"/>
    <s v="Y"/>
    <s v="Yes"/>
    <x v="0"/>
    <x v="0"/>
    <n v="2"/>
    <x v="0"/>
    <n v="0"/>
    <x v="15"/>
    <n v="3"/>
    <x v="1"/>
    <x v="7"/>
    <x v="8"/>
    <x v="1"/>
    <x v="9"/>
  </r>
  <r>
    <x v="31"/>
    <x v="1"/>
    <s v="Travel_Rarely"/>
    <n v="770"/>
    <x v="2"/>
    <n v="5"/>
    <n v="3"/>
    <s v="Life Sciences"/>
    <n v="1"/>
    <n v="1352"/>
    <x v="1"/>
    <x v="1"/>
    <x v="9"/>
    <x v="0"/>
    <x v="3"/>
    <x v="5"/>
    <x v="1"/>
    <x v="2"/>
    <x v="906"/>
    <x v="947"/>
    <x v="1"/>
    <s v="Y"/>
    <s v="Yes"/>
    <x v="0"/>
    <x v="0"/>
    <n v="2"/>
    <x v="0"/>
    <n v="1"/>
    <x v="37"/>
    <n v="2"/>
    <x v="1"/>
    <x v="26"/>
    <x v="5"/>
    <x v="0"/>
    <x v="13"/>
  </r>
  <r>
    <x v="8"/>
    <x v="1"/>
    <s v="Travel_Rarely"/>
    <n v="1009"/>
    <x v="0"/>
    <n v="2"/>
    <n v="2"/>
    <s v="Life Sciences"/>
    <n v="1"/>
    <n v="1355"/>
    <x v="0"/>
    <x v="0"/>
    <x v="11"/>
    <x v="0"/>
    <x v="0"/>
    <x v="0"/>
    <x v="3"/>
    <x v="2"/>
    <x v="907"/>
    <x v="948"/>
    <x v="9"/>
    <s v="Y"/>
    <s v="No"/>
    <x v="2"/>
    <x v="0"/>
    <n v="4"/>
    <x v="0"/>
    <n v="1"/>
    <x v="27"/>
    <n v="3"/>
    <x v="1"/>
    <x v="5"/>
    <x v="1"/>
    <x v="1"/>
    <x v="1"/>
  </r>
  <r>
    <x v="13"/>
    <x v="1"/>
    <s v="Travel_Rarely"/>
    <n v="507"/>
    <x v="0"/>
    <n v="15"/>
    <n v="2"/>
    <s v="Medical"/>
    <n v="1"/>
    <n v="1356"/>
    <x v="1"/>
    <x v="0"/>
    <x v="45"/>
    <x v="0"/>
    <x v="0"/>
    <x v="0"/>
    <x v="3"/>
    <x v="0"/>
    <x v="908"/>
    <x v="949"/>
    <x v="1"/>
    <s v="Y"/>
    <s v="No"/>
    <x v="3"/>
    <x v="0"/>
    <n v="4"/>
    <x v="0"/>
    <n v="0"/>
    <x v="1"/>
    <n v="6"/>
    <x v="3"/>
    <x v="1"/>
    <x v="6"/>
    <x v="10"/>
    <x v="4"/>
  </r>
  <r>
    <x v="36"/>
    <x v="1"/>
    <s v="Travel_Rarely"/>
    <n v="882"/>
    <x v="1"/>
    <n v="19"/>
    <n v="1"/>
    <s v="Medical"/>
    <n v="1"/>
    <n v="1358"/>
    <x v="2"/>
    <x v="1"/>
    <x v="7"/>
    <x v="0"/>
    <x v="1"/>
    <x v="2"/>
    <x v="0"/>
    <x v="1"/>
    <x v="909"/>
    <x v="950"/>
    <x v="9"/>
    <s v="Y"/>
    <s v="No"/>
    <x v="0"/>
    <x v="0"/>
    <n v="3"/>
    <x v="0"/>
    <n v="3"/>
    <x v="2"/>
    <n v="6"/>
    <x v="2"/>
    <x v="11"/>
    <x v="3"/>
    <x v="1"/>
    <x v="3"/>
  </r>
  <r>
    <x v="34"/>
    <x v="0"/>
    <s v="Travel_Rarely"/>
    <n v="601"/>
    <x v="1"/>
    <n v="7"/>
    <n v="4"/>
    <s v="Medical"/>
    <n v="1"/>
    <n v="1360"/>
    <x v="1"/>
    <x v="0"/>
    <x v="20"/>
    <x v="1"/>
    <x v="2"/>
    <x v="3"/>
    <x v="3"/>
    <x v="1"/>
    <x v="910"/>
    <x v="951"/>
    <x v="8"/>
    <s v="Y"/>
    <s v="Yes"/>
    <x v="9"/>
    <x v="0"/>
    <n v="4"/>
    <x v="0"/>
    <n v="0"/>
    <x v="9"/>
    <n v="0"/>
    <x v="2"/>
    <x v="1"/>
    <x v="5"/>
    <x v="8"/>
    <x v="12"/>
  </r>
  <r>
    <x v="32"/>
    <x v="1"/>
    <s v="Travel_Rarely"/>
    <n v="329"/>
    <x v="1"/>
    <n v="1"/>
    <n v="4"/>
    <s v="Life Sciences"/>
    <n v="1"/>
    <n v="1361"/>
    <x v="0"/>
    <x v="1"/>
    <x v="64"/>
    <x v="0"/>
    <x v="1"/>
    <x v="2"/>
    <x v="1"/>
    <x v="1"/>
    <x v="911"/>
    <x v="952"/>
    <x v="9"/>
    <s v="Y"/>
    <s v="No"/>
    <x v="6"/>
    <x v="1"/>
    <n v="3"/>
    <x v="0"/>
    <n v="1"/>
    <x v="2"/>
    <n v="3"/>
    <x v="1"/>
    <x v="9"/>
    <x v="3"/>
    <x v="0"/>
    <x v="6"/>
  </r>
  <r>
    <x v="9"/>
    <x v="1"/>
    <s v="Travel_Frequently"/>
    <n v="607"/>
    <x v="0"/>
    <n v="7"/>
    <n v="3"/>
    <s v="Marketing"/>
    <n v="1"/>
    <n v="1362"/>
    <x v="3"/>
    <x v="0"/>
    <x v="21"/>
    <x v="2"/>
    <x v="0"/>
    <x v="0"/>
    <x v="3"/>
    <x v="1"/>
    <x v="912"/>
    <x v="953"/>
    <x v="7"/>
    <s v="Y"/>
    <s v="No"/>
    <x v="10"/>
    <x v="0"/>
    <n v="4"/>
    <x v="0"/>
    <n v="1"/>
    <x v="6"/>
    <n v="2"/>
    <x v="2"/>
    <x v="15"/>
    <x v="1"/>
    <x v="7"/>
    <x v="15"/>
  </r>
  <r>
    <x v="26"/>
    <x v="1"/>
    <s v="Travel_Rarely"/>
    <n v="855"/>
    <x v="1"/>
    <n v="4"/>
    <n v="3"/>
    <s v="Life Sciences"/>
    <n v="1"/>
    <n v="1363"/>
    <x v="2"/>
    <x v="1"/>
    <x v="60"/>
    <x v="0"/>
    <x v="2"/>
    <x v="3"/>
    <x v="0"/>
    <x v="0"/>
    <x v="913"/>
    <x v="954"/>
    <x v="1"/>
    <s v="Y"/>
    <s v="No"/>
    <x v="0"/>
    <x v="0"/>
    <n v="3"/>
    <x v="0"/>
    <n v="0"/>
    <x v="27"/>
    <n v="2"/>
    <x v="1"/>
    <x v="1"/>
    <x v="5"/>
    <x v="0"/>
    <x v="5"/>
  </r>
  <r>
    <x v="4"/>
    <x v="1"/>
    <s v="Travel_Rarely"/>
    <n v="1291"/>
    <x v="0"/>
    <n v="11"/>
    <n v="3"/>
    <s v="Medical"/>
    <n v="1"/>
    <n v="1364"/>
    <x v="1"/>
    <x v="0"/>
    <x v="33"/>
    <x v="2"/>
    <x v="1"/>
    <x v="6"/>
    <x v="0"/>
    <x v="1"/>
    <x v="914"/>
    <x v="955"/>
    <x v="0"/>
    <s v="Y"/>
    <s v="No"/>
    <x v="9"/>
    <x v="0"/>
    <n v="2"/>
    <x v="0"/>
    <n v="1"/>
    <x v="7"/>
    <n v="4"/>
    <x v="1"/>
    <x v="6"/>
    <x v="2"/>
    <x v="0"/>
    <x v="2"/>
  </r>
  <r>
    <x v="31"/>
    <x v="1"/>
    <s v="Travel_Rarely"/>
    <n v="1405"/>
    <x v="1"/>
    <n v="11"/>
    <n v="2"/>
    <s v="Technical Degree"/>
    <n v="1"/>
    <n v="1367"/>
    <x v="2"/>
    <x v="0"/>
    <x v="19"/>
    <x v="1"/>
    <x v="3"/>
    <x v="3"/>
    <x v="1"/>
    <x v="0"/>
    <x v="915"/>
    <x v="956"/>
    <x v="9"/>
    <s v="Y"/>
    <s v="No"/>
    <x v="10"/>
    <x v="0"/>
    <n v="2"/>
    <x v="0"/>
    <n v="0"/>
    <x v="22"/>
    <n v="1"/>
    <x v="2"/>
    <x v="8"/>
    <x v="3"/>
    <x v="0"/>
    <x v="6"/>
  </r>
  <r>
    <x v="41"/>
    <x v="1"/>
    <s v="Non-Travel"/>
    <n v="1124"/>
    <x v="1"/>
    <n v="1"/>
    <n v="3"/>
    <s v="Life Sciences"/>
    <n v="1"/>
    <n v="1368"/>
    <x v="2"/>
    <x v="0"/>
    <x v="28"/>
    <x v="0"/>
    <x v="1"/>
    <x v="2"/>
    <x v="0"/>
    <x v="0"/>
    <x v="916"/>
    <x v="957"/>
    <x v="1"/>
    <s v="Y"/>
    <s v="No"/>
    <x v="2"/>
    <x v="0"/>
    <n v="3"/>
    <x v="0"/>
    <n v="0"/>
    <x v="11"/>
    <n v="5"/>
    <x v="3"/>
    <x v="2"/>
    <x v="2"/>
    <x v="0"/>
    <x v="2"/>
  </r>
  <r>
    <x v="10"/>
    <x v="1"/>
    <s v="Travel_Rarely"/>
    <n v="817"/>
    <x v="1"/>
    <n v="1"/>
    <n v="3"/>
    <s v="Medical"/>
    <n v="1"/>
    <n v="1369"/>
    <x v="2"/>
    <x v="0"/>
    <x v="53"/>
    <x v="1"/>
    <x v="0"/>
    <x v="2"/>
    <x v="0"/>
    <x v="1"/>
    <x v="917"/>
    <x v="958"/>
    <x v="4"/>
    <s v="Y"/>
    <s v="No"/>
    <x v="3"/>
    <x v="0"/>
    <n v="2"/>
    <x v="0"/>
    <n v="1"/>
    <x v="1"/>
    <n v="0"/>
    <x v="1"/>
    <x v="7"/>
    <x v="1"/>
    <x v="0"/>
    <x v="2"/>
  </r>
  <r>
    <x v="4"/>
    <x v="1"/>
    <s v="Travel_Frequently"/>
    <n v="793"/>
    <x v="0"/>
    <n v="2"/>
    <n v="1"/>
    <s v="Life Sciences"/>
    <n v="1"/>
    <n v="1371"/>
    <x v="2"/>
    <x v="1"/>
    <x v="38"/>
    <x v="3"/>
    <x v="0"/>
    <x v="0"/>
    <x v="0"/>
    <x v="0"/>
    <x v="918"/>
    <x v="959"/>
    <x v="9"/>
    <s v="Y"/>
    <s v="No"/>
    <x v="5"/>
    <x v="1"/>
    <n v="2"/>
    <x v="0"/>
    <n v="0"/>
    <x v="0"/>
    <n v="3"/>
    <x v="1"/>
    <x v="0"/>
    <x v="3"/>
    <x v="0"/>
    <x v="2"/>
  </r>
  <r>
    <x v="27"/>
    <x v="0"/>
    <s v="Travel_Rarely"/>
    <n v="267"/>
    <x v="0"/>
    <n v="13"/>
    <n v="4"/>
    <s v="Marketing"/>
    <n v="1"/>
    <n v="1372"/>
    <x v="3"/>
    <x v="1"/>
    <x v="65"/>
    <x v="2"/>
    <x v="3"/>
    <x v="0"/>
    <x v="2"/>
    <x v="0"/>
    <x v="919"/>
    <x v="960"/>
    <x v="2"/>
    <s v="Y"/>
    <s v="Yes"/>
    <x v="8"/>
    <x v="0"/>
    <n v="3"/>
    <x v="0"/>
    <n v="0"/>
    <x v="13"/>
    <n v="2"/>
    <x v="2"/>
    <x v="27"/>
    <x v="1"/>
    <x v="2"/>
    <x v="5"/>
  </r>
  <r>
    <x v="29"/>
    <x v="1"/>
    <s v="Travel_Rarely"/>
    <n v="1369"/>
    <x v="1"/>
    <n v="23"/>
    <n v="3"/>
    <s v="Life Sciences"/>
    <n v="1"/>
    <n v="1373"/>
    <x v="2"/>
    <x v="1"/>
    <x v="67"/>
    <x v="0"/>
    <x v="3"/>
    <x v="3"/>
    <x v="1"/>
    <x v="1"/>
    <x v="920"/>
    <x v="961"/>
    <x v="5"/>
    <s v="Y"/>
    <s v="Yes"/>
    <x v="3"/>
    <x v="0"/>
    <n v="1"/>
    <x v="0"/>
    <n v="1"/>
    <x v="37"/>
    <n v="0"/>
    <x v="1"/>
    <x v="27"/>
    <x v="13"/>
    <x v="9"/>
    <x v="12"/>
  </r>
  <r>
    <x v="13"/>
    <x v="1"/>
    <s v="Non-Travel"/>
    <n v="999"/>
    <x v="1"/>
    <n v="26"/>
    <n v="1"/>
    <s v="Technical Degree"/>
    <n v="1"/>
    <n v="1374"/>
    <x v="3"/>
    <x v="0"/>
    <x v="2"/>
    <x v="1"/>
    <x v="1"/>
    <x v="1"/>
    <x v="2"/>
    <x v="2"/>
    <x v="921"/>
    <x v="962"/>
    <x v="1"/>
    <s v="Y"/>
    <s v="No"/>
    <x v="5"/>
    <x v="1"/>
    <n v="3"/>
    <x v="0"/>
    <n v="3"/>
    <x v="7"/>
    <n v="2"/>
    <x v="1"/>
    <x v="8"/>
    <x v="0"/>
    <x v="0"/>
    <x v="2"/>
  </r>
  <r>
    <x v="32"/>
    <x v="1"/>
    <s v="Travel_Rarely"/>
    <n v="1202"/>
    <x v="1"/>
    <n v="2"/>
    <n v="1"/>
    <s v="Medical"/>
    <n v="1"/>
    <n v="1375"/>
    <x v="0"/>
    <x v="0"/>
    <x v="66"/>
    <x v="2"/>
    <x v="0"/>
    <x v="4"/>
    <x v="2"/>
    <x v="2"/>
    <x v="922"/>
    <x v="963"/>
    <x v="6"/>
    <s v="Y"/>
    <s v="No"/>
    <x v="5"/>
    <x v="1"/>
    <n v="2"/>
    <x v="0"/>
    <n v="3"/>
    <x v="20"/>
    <n v="0"/>
    <x v="1"/>
    <x v="12"/>
    <x v="14"/>
    <x v="14"/>
    <x v="5"/>
  </r>
  <r>
    <x v="13"/>
    <x v="1"/>
    <s v="Travel_Rarely"/>
    <n v="285"/>
    <x v="1"/>
    <n v="29"/>
    <n v="3"/>
    <s v="Medical"/>
    <n v="1"/>
    <n v="1377"/>
    <x v="0"/>
    <x v="1"/>
    <x v="27"/>
    <x v="0"/>
    <x v="0"/>
    <x v="2"/>
    <x v="2"/>
    <x v="1"/>
    <x v="923"/>
    <x v="964"/>
    <x v="5"/>
    <s v="Y"/>
    <s v="No"/>
    <x v="4"/>
    <x v="0"/>
    <n v="1"/>
    <x v="0"/>
    <n v="2"/>
    <x v="1"/>
    <n v="1"/>
    <x v="1"/>
    <x v="3"/>
    <x v="1"/>
    <x v="4"/>
    <x v="1"/>
  </r>
  <r>
    <x v="12"/>
    <x v="0"/>
    <s v="Travel_Frequently"/>
    <n v="703"/>
    <x v="0"/>
    <n v="2"/>
    <n v="3"/>
    <s v="Life Sciences"/>
    <n v="1"/>
    <n v="1379"/>
    <x v="1"/>
    <x v="0"/>
    <x v="62"/>
    <x v="1"/>
    <x v="1"/>
    <x v="6"/>
    <x v="0"/>
    <x v="0"/>
    <x v="924"/>
    <x v="965"/>
    <x v="8"/>
    <s v="Y"/>
    <s v="No"/>
    <x v="9"/>
    <x v="0"/>
    <n v="3"/>
    <x v="0"/>
    <n v="0"/>
    <x v="8"/>
    <n v="3"/>
    <x v="3"/>
    <x v="6"/>
    <x v="2"/>
    <x v="0"/>
    <x v="2"/>
  </r>
  <r>
    <x v="10"/>
    <x v="0"/>
    <s v="Travel_Frequently"/>
    <n v="662"/>
    <x v="0"/>
    <n v="18"/>
    <n v="4"/>
    <s v="Marketing"/>
    <n v="1"/>
    <n v="1380"/>
    <x v="2"/>
    <x v="0"/>
    <x v="7"/>
    <x v="0"/>
    <x v="0"/>
    <x v="0"/>
    <x v="2"/>
    <x v="1"/>
    <x v="925"/>
    <x v="966"/>
    <x v="4"/>
    <s v="Y"/>
    <s v="Yes"/>
    <x v="11"/>
    <x v="0"/>
    <n v="3"/>
    <x v="0"/>
    <n v="1"/>
    <x v="7"/>
    <n v="0"/>
    <x v="2"/>
    <x v="9"/>
    <x v="3"/>
    <x v="2"/>
    <x v="3"/>
  </r>
  <r>
    <x v="8"/>
    <x v="1"/>
    <s v="Travel_Frequently"/>
    <n v="693"/>
    <x v="1"/>
    <n v="7"/>
    <n v="3"/>
    <s v="Life Sciences"/>
    <n v="1"/>
    <n v="1382"/>
    <x v="2"/>
    <x v="1"/>
    <x v="42"/>
    <x v="2"/>
    <x v="1"/>
    <x v="1"/>
    <x v="2"/>
    <x v="2"/>
    <x v="353"/>
    <x v="967"/>
    <x v="1"/>
    <s v="Y"/>
    <s v="No"/>
    <x v="0"/>
    <x v="0"/>
    <n v="4"/>
    <x v="0"/>
    <n v="3"/>
    <x v="21"/>
    <n v="2"/>
    <x v="1"/>
    <x v="9"/>
    <x v="3"/>
    <x v="0"/>
    <x v="6"/>
  </r>
  <r>
    <x v="13"/>
    <x v="1"/>
    <s v="Travel_Rarely"/>
    <n v="404"/>
    <x v="1"/>
    <n v="2"/>
    <n v="4"/>
    <s v="Technical Degree"/>
    <n v="1"/>
    <n v="1383"/>
    <x v="1"/>
    <x v="0"/>
    <x v="33"/>
    <x v="0"/>
    <x v="0"/>
    <x v="4"/>
    <x v="0"/>
    <x v="0"/>
    <x v="926"/>
    <x v="968"/>
    <x v="1"/>
    <s v="Y"/>
    <s v="No"/>
    <x v="0"/>
    <x v="0"/>
    <n v="4"/>
    <x v="0"/>
    <n v="0"/>
    <x v="19"/>
    <n v="2"/>
    <x v="3"/>
    <x v="13"/>
    <x v="14"/>
    <x v="5"/>
    <x v="7"/>
  </r>
  <r>
    <x v="14"/>
    <x v="1"/>
    <s v="Travel_Rarely"/>
    <n v="736"/>
    <x v="0"/>
    <n v="26"/>
    <n v="3"/>
    <s v="Life Sciences"/>
    <n v="1"/>
    <n v="1387"/>
    <x v="1"/>
    <x v="1"/>
    <x v="24"/>
    <x v="1"/>
    <x v="0"/>
    <x v="0"/>
    <x v="3"/>
    <x v="1"/>
    <x v="927"/>
    <x v="969"/>
    <x v="1"/>
    <s v="Y"/>
    <s v="No"/>
    <x v="0"/>
    <x v="0"/>
    <n v="3"/>
    <x v="0"/>
    <n v="1"/>
    <x v="7"/>
    <n v="0"/>
    <x v="1"/>
    <x v="8"/>
    <x v="7"/>
    <x v="0"/>
    <x v="10"/>
  </r>
  <r>
    <x v="12"/>
    <x v="0"/>
    <s v="Travel_Rarely"/>
    <n v="330"/>
    <x v="1"/>
    <n v="22"/>
    <n v="4"/>
    <s v="Medical"/>
    <n v="1"/>
    <n v="1389"/>
    <x v="2"/>
    <x v="1"/>
    <x v="33"/>
    <x v="0"/>
    <x v="0"/>
    <x v="3"/>
    <x v="2"/>
    <x v="1"/>
    <x v="928"/>
    <x v="970"/>
    <x v="1"/>
    <s v="Y"/>
    <s v="Yes"/>
    <x v="2"/>
    <x v="0"/>
    <n v="4"/>
    <x v="0"/>
    <n v="2"/>
    <x v="1"/>
    <n v="3"/>
    <x v="2"/>
    <x v="1"/>
    <x v="3"/>
    <x v="7"/>
    <x v="1"/>
  </r>
  <r>
    <x v="22"/>
    <x v="1"/>
    <s v="Travel_Rarely"/>
    <n v="1498"/>
    <x v="0"/>
    <n v="21"/>
    <n v="4"/>
    <s v="Life Sciences"/>
    <n v="1"/>
    <n v="1390"/>
    <x v="3"/>
    <x v="1"/>
    <x v="8"/>
    <x v="1"/>
    <x v="0"/>
    <x v="0"/>
    <x v="0"/>
    <x v="1"/>
    <x v="929"/>
    <x v="971"/>
    <x v="9"/>
    <s v="Y"/>
    <s v="Yes"/>
    <x v="3"/>
    <x v="0"/>
    <n v="4"/>
    <x v="0"/>
    <n v="2"/>
    <x v="0"/>
    <n v="2"/>
    <x v="3"/>
    <x v="8"/>
    <x v="0"/>
    <x v="1"/>
    <x v="10"/>
  </r>
  <r>
    <x v="31"/>
    <x v="1"/>
    <s v="Travel_Frequently"/>
    <n v="541"/>
    <x v="0"/>
    <n v="2"/>
    <n v="3"/>
    <s v="Marketing"/>
    <n v="1"/>
    <n v="1391"/>
    <x v="0"/>
    <x v="1"/>
    <x v="48"/>
    <x v="0"/>
    <x v="2"/>
    <x v="0"/>
    <x v="1"/>
    <x v="1"/>
    <x v="930"/>
    <x v="972"/>
    <x v="7"/>
    <s v="Y"/>
    <s v="No"/>
    <x v="0"/>
    <x v="0"/>
    <n v="2"/>
    <x v="0"/>
    <n v="0"/>
    <x v="19"/>
    <n v="5"/>
    <x v="1"/>
    <x v="9"/>
    <x v="3"/>
    <x v="2"/>
    <x v="3"/>
  </r>
  <r>
    <x v="0"/>
    <x v="1"/>
    <s v="Travel_Frequently"/>
    <n v="1200"/>
    <x v="1"/>
    <n v="22"/>
    <n v="3"/>
    <s v="Life Sciences"/>
    <n v="1"/>
    <n v="1392"/>
    <x v="2"/>
    <x v="0"/>
    <x v="29"/>
    <x v="0"/>
    <x v="0"/>
    <x v="1"/>
    <x v="0"/>
    <x v="2"/>
    <x v="931"/>
    <x v="973"/>
    <x v="9"/>
    <s v="Y"/>
    <s v="Yes"/>
    <x v="9"/>
    <x v="0"/>
    <n v="1"/>
    <x v="0"/>
    <n v="2"/>
    <x v="4"/>
    <n v="4"/>
    <x v="2"/>
    <x v="0"/>
    <x v="3"/>
    <x v="2"/>
    <x v="6"/>
  </r>
  <r>
    <x v="2"/>
    <x v="1"/>
    <s v="Travel_Rarely"/>
    <n v="1439"/>
    <x v="1"/>
    <n v="4"/>
    <n v="1"/>
    <s v="Life Sciences"/>
    <n v="1"/>
    <n v="1394"/>
    <x v="1"/>
    <x v="1"/>
    <x v="60"/>
    <x v="0"/>
    <x v="1"/>
    <x v="1"/>
    <x v="2"/>
    <x v="1"/>
    <x v="932"/>
    <x v="974"/>
    <x v="8"/>
    <s v="Y"/>
    <s v="Yes"/>
    <x v="2"/>
    <x v="0"/>
    <n v="4"/>
    <x v="0"/>
    <n v="0"/>
    <x v="0"/>
    <n v="2"/>
    <x v="1"/>
    <x v="0"/>
    <x v="0"/>
    <x v="1"/>
    <x v="6"/>
  </r>
  <r>
    <x v="3"/>
    <x v="1"/>
    <s v="Travel_Frequently"/>
    <n v="1111"/>
    <x v="0"/>
    <n v="5"/>
    <n v="1"/>
    <s v="Life Sciences"/>
    <n v="1"/>
    <n v="1395"/>
    <x v="0"/>
    <x v="1"/>
    <x v="1"/>
    <x v="0"/>
    <x v="0"/>
    <x v="0"/>
    <x v="0"/>
    <x v="1"/>
    <x v="933"/>
    <x v="975"/>
    <x v="2"/>
    <s v="Y"/>
    <s v="No"/>
    <x v="4"/>
    <x v="0"/>
    <n v="1"/>
    <x v="0"/>
    <n v="0"/>
    <x v="0"/>
    <n v="2"/>
    <x v="3"/>
    <x v="8"/>
    <x v="0"/>
    <x v="1"/>
    <x v="3"/>
  </r>
  <r>
    <x v="5"/>
    <x v="1"/>
    <s v="Travel_Rarely"/>
    <n v="499"/>
    <x v="0"/>
    <n v="2"/>
    <n v="1"/>
    <s v="Marketing"/>
    <n v="1"/>
    <n v="1396"/>
    <x v="1"/>
    <x v="1"/>
    <x v="34"/>
    <x v="0"/>
    <x v="0"/>
    <x v="0"/>
    <x v="1"/>
    <x v="1"/>
    <x v="934"/>
    <x v="976"/>
    <x v="4"/>
    <s v="Y"/>
    <s v="Yes"/>
    <x v="4"/>
    <x v="0"/>
    <n v="1"/>
    <x v="0"/>
    <n v="3"/>
    <x v="21"/>
    <n v="3"/>
    <x v="2"/>
    <x v="11"/>
    <x v="3"/>
    <x v="1"/>
    <x v="3"/>
  </r>
  <r>
    <x v="22"/>
    <x v="1"/>
    <s v="Non-Travel"/>
    <n v="1485"/>
    <x v="1"/>
    <n v="25"/>
    <n v="2"/>
    <s v="Life Sciences"/>
    <n v="1"/>
    <n v="1397"/>
    <x v="1"/>
    <x v="1"/>
    <x v="36"/>
    <x v="0"/>
    <x v="2"/>
    <x v="4"/>
    <x v="2"/>
    <x v="1"/>
    <x v="935"/>
    <x v="977"/>
    <x v="9"/>
    <s v="Y"/>
    <s v="No"/>
    <x v="7"/>
    <x v="1"/>
    <n v="2"/>
    <x v="0"/>
    <n v="1"/>
    <x v="10"/>
    <n v="2"/>
    <x v="1"/>
    <x v="0"/>
    <x v="0"/>
    <x v="0"/>
    <x v="0"/>
  </r>
  <r>
    <x v="36"/>
    <x v="1"/>
    <s v="Travel_Rarely"/>
    <n v="1372"/>
    <x v="0"/>
    <n v="18"/>
    <n v="1"/>
    <s v="Life Sciences"/>
    <n v="1"/>
    <n v="1399"/>
    <x v="3"/>
    <x v="1"/>
    <x v="12"/>
    <x v="2"/>
    <x v="0"/>
    <x v="0"/>
    <x v="2"/>
    <x v="1"/>
    <x v="936"/>
    <x v="978"/>
    <x v="7"/>
    <s v="Y"/>
    <s v="No"/>
    <x v="0"/>
    <x v="0"/>
    <n v="2"/>
    <x v="0"/>
    <n v="0"/>
    <x v="3"/>
    <n v="3"/>
    <x v="2"/>
    <x v="11"/>
    <x v="3"/>
    <x v="1"/>
    <x v="3"/>
  </r>
  <r>
    <x v="39"/>
    <x v="1"/>
    <s v="Travel_Frequently"/>
    <n v="322"/>
    <x v="1"/>
    <n v="28"/>
    <n v="2"/>
    <s v="Medical"/>
    <n v="1"/>
    <n v="1401"/>
    <x v="2"/>
    <x v="0"/>
    <x v="40"/>
    <x v="2"/>
    <x v="3"/>
    <x v="3"/>
    <x v="2"/>
    <x v="1"/>
    <x v="937"/>
    <x v="979"/>
    <x v="7"/>
    <s v="Y"/>
    <s v="Yes"/>
    <x v="0"/>
    <x v="0"/>
    <n v="2"/>
    <x v="0"/>
    <n v="1"/>
    <x v="13"/>
    <n v="3"/>
    <x v="2"/>
    <x v="8"/>
    <x v="7"/>
    <x v="0"/>
    <x v="3"/>
  </r>
  <r>
    <x v="23"/>
    <x v="1"/>
    <s v="Travel_Rarely"/>
    <n v="930"/>
    <x v="1"/>
    <n v="6"/>
    <n v="3"/>
    <s v="Medical"/>
    <n v="1"/>
    <n v="1402"/>
    <x v="3"/>
    <x v="0"/>
    <x v="32"/>
    <x v="1"/>
    <x v="0"/>
    <x v="1"/>
    <x v="2"/>
    <x v="0"/>
    <x v="938"/>
    <x v="980"/>
    <x v="1"/>
    <s v="Y"/>
    <s v="Yes"/>
    <x v="9"/>
    <x v="0"/>
    <n v="1"/>
    <x v="0"/>
    <n v="0"/>
    <x v="26"/>
    <n v="3"/>
    <x v="0"/>
    <x v="23"/>
    <x v="1"/>
    <x v="1"/>
    <x v="5"/>
  </r>
  <r>
    <x v="4"/>
    <x v="1"/>
    <s v="Travel_Rarely"/>
    <n v="205"/>
    <x v="0"/>
    <n v="10"/>
    <n v="3"/>
    <s v="Marketing"/>
    <n v="1"/>
    <n v="1403"/>
    <x v="2"/>
    <x v="0"/>
    <x v="33"/>
    <x v="1"/>
    <x v="0"/>
    <x v="0"/>
    <x v="0"/>
    <x v="1"/>
    <x v="939"/>
    <x v="981"/>
    <x v="1"/>
    <s v="Y"/>
    <s v="Yes"/>
    <x v="0"/>
    <x v="0"/>
    <n v="4"/>
    <x v="0"/>
    <n v="0"/>
    <x v="3"/>
    <n v="3"/>
    <x v="1"/>
    <x v="0"/>
    <x v="3"/>
    <x v="5"/>
    <x v="10"/>
  </r>
  <r>
    <x v="4"/>
    <x v="0"/>
    <s v="Travel_Rarely"/>
    <n v="135"/>
    <x v="1"/>
    <n v="17"/>
    <n v="4"/>
    <s v="Life Sciences"/>
    <n v="1"/>
    <n v="1405"/>
    <x v="2"/>
    <x v="0"/>
    <x v="14"/>
    <x v="0"/>
    <x v="1"/>
    <x v="1"/>
    <x v="2"/>
    <x v="0"/>
    <x v="940"/>
    <x v="982"/>
    <x v="1"/>
    <s v="Y"/>
    <s v="Yes"/>
    <x v="4"/>
    <x v="0"/>
    <n v="4"/>
    <x v="0"/>
    <n v="0"/>
    <x v="0"/>
    <n v="2"/>
    <x v="1"/>
    <x v="3"/>
    <x v="3"/>
    <x v="4"/>
    <x v="1"/>
  </r>
  <r>
    <x v="25"/>
    <x v="1"/>
    <s v="Travel_Rarely"/>
    <n v="683"/>
    <x v="1"/>
    <n v="2"/>
    <n v="1"/>
    <s v="Medical"/>
    <n v="1"/>
    <n v="1407"/>
    <x v="3"/>
    <x v="1"/>
    <x v="34"/>
    <x v="1"/>
    <x v="1"/>
    <x v="1"/>
    <x v="0"/>
    <x v="0"/>
    <x v="885"/>
    <x v="983"/>
    <x v="4"/>
    <s v="Y"/>
    <s v="No"/>
    <x v="3"/>
    <x v="0"/>
    <n v="4"/>
    <x v="0"/>
    <n v="0"/>
    <x v="7"/>
    <n v="2"/>
    <x v="1"/>
    <x v="9"/>
    <x v="7"/>
    <x v="1"/>
    <x v="9"/>
  </r>
  <r>
    <x v="19"/>
    <x v="1"/>
    <s v="Travel_Rarely"/>
    <n v="1147"/>
    <x v="2"/>
    <n v="10"/>
    <n v="3"/>
    <s v="Human Resources"/>
    <n v="1"/>
    <n v="1408"/>
    <x v="1"/>
    <x v="0"/>
    <x v="11"/>
    <x v="0"/>
    <x v="3"/>
    <x v="5"/>
    <x v="3"/>
    <x v="1"/>
    <x v="941"/>
    <x v="984"/>
    <x v="4"/>
    <s v="Y"/>
    <s v="No"/>
    <x v="9"/>
    <x v="0"/>
    <n v="3"/>
    <x v="0"/>
    <n v="1"/>
    <x v="24"/>
    <n v="5"/>
    <x v="1"/>
    <x v="23"/>
    <x v="1"/>
    <x v="0"/>
    <x v="12"/>
  </r>
  <r>
    <x v="39"/>
    <x v="1"/>
    <s v="Travel_Rarely"/>
    <n v="258"/>
    <x v="1"/>
    <n v="8"/>
    <n v="4"/>
    <s v="Other"/>
    <n v="1"/>
    <n v="1409"/>
    <x v="1"/>
    <x v="0"/>
    <x v="60"/>
    <x v="0"/>
    <x v="1"/>
    <x v="2"/>
    <x v="3"/>
    <x v="1"/>
    <x v="942"/>
    <x v="985"/>
    <x v="3"/>
    <s v="Y"/>
    <s v="No"/>
    <x v="4"/>
    <x v="0"/>
    <n v="3"/>
    <x v="0"/>
    <n v="0"/>
    <x v="4"/>
    <n v="2"/>
    <x v="0"/>
    <x v="8"/>
    <x v="0"/>
    <x v="0"/>
    <x v="10"/>
  </r>
  <r>
    <x v="2"/>
    <x v="1"/>
    <s v="Travel_Rarely"/>
    <n v="1462"/>
    <x v="1"/>
    <n v="11"/>
    <n v="3"/>
    <s v="Medical"/>
    <n v="1"/>
    <n v="1411"/>
    <x v="3"/>
    <x v="0"/>
    <x v="0"/>
    <x v="0"/>
    <x v="1"/>
    <x v="2"/>
    <x v="2"/>
    <x v="0"/>
    <x v="943"/>
    <x v="986"/>
    <x v="5"/>
    <s v="Y"/>
    <s v="No"/>
    <x v="11"/>
    <x v="0"/>
    <n v="1"/>
    <x v="0"/>
    <n v="0"/>
    <x v="0"/>
    <n v="6"/>
    <x v="1"/>
    <x v="11"/>
    <x v="3"/>
    <x v="0"/>
    <x v="3"/>
  </r>
  <r>
    <x v="10"/>
    <x v="1"/>
    <s v="Travel_Frequently"/>
    <n v="200"/>
    <x v="1"/>
    <n v="18"/>
    <n v="2"/>
    <s v="Life Sciences"/>
    <n v="1"/>
    <n v="1412"/>
    <x v="1"/>
    <x v="1"/>
    <x v="53"/>
    <x v="0"/>
    <x v="2"/>
    <x v="3"/>
    <x v="0"/>
    <x v="0"/>
    <x v="944"/>
    <x v="987"/>
    <x v="7"/>
    <s v="Y"/>
    <s v="No"/>
    <x v="0"/>
    <x v="0"/>
    <n v="3"/>
    <x v="0"/>
    <n v="0"/>
    <x v="1"/>
    <n v="2"/>
    <x v="1"/>
    <x v="4"/>
    <x v="3"/>
    <x v="3"/>
    <x v="3"/>
  </r>
  <r>
    <x v="36"/>
    <x v="1"/>
    <s v="Travel_Rarely"/>
    <n v="949"/>
    <x v="1"/>
    <n v="1"/>
    <n v="3"/>
    <s v="Technical Degree"/>
    <n v="1"/>
    <n v="1415"/>
    <x v="3"/>
    <x v="1"/>
    <x v="6"/>
    <x v="0"/>
    <x v="1"/>
    <x v="2"/>
    <x v="0"/>
    <x v="1"/>
    <x v="945"/>
    <x v="988"/>
    <x v="5"/>
    <s v="Y"/>
    <s v="No"/>
    <x v="0"/>
    <x v="0"/>
    <n v="2"/>
    <x v="0"/>
    <n v="1"/>
    <x v="2"/>
    <n v="2"/>
    <x v="2"/>
    <x v="11"/>
    <x v="3"/>
    <x v="0"/>
    <x v="3"/>
  </r>
  <r>
    <x v="25"/>
    <x v="1"/>
    <s v="Travel_Rarely"/>
    <n v="652"/>
    <x v="1"/>
    <n v="7"/>
    <n v="3"/>
    <s v="Other"/>
    <n v="1"/>
    <n v="1417"/>
    <x v="1"/>
    <x v="1"/>
    <x v="54"/>
    <x v="2"/>
    <x v="1"/>
    <x v="2"/>
    <x v="3"/>
    <x v="0"/>
    <x v="946"/>
    <x v="989"/>
    <x v="4"/>
    <s v="Y"/>
    <s v="No"/>
    <x v="3"/>
    <x v="0"/>
    <n v="4"/>
    <x v="0"/>
    <n v="0"/>
    <x v="0"/>
    <n v="2"/>
    <x v="1"/>
    <x v="5"/>
    <x v="1"/>
    <x v="0"/>
    <x v="1"/>
  </r>
  <r>
    <x v="11"/>
    <x v="1"/>
    <s v="Travel_Rarely"/>
    <n v="332"/>
    <x v="2"/>
    <n v="17"/>
    <n v="3"/>
    <s v="Other"/>
    <n v="1"/>
    <n v="1419"/>
    <x v="0"/>
    <x v="1"/>
    <x v="14"/>
    <x v="1"/>
    <x v="2"/>
    <x v="8"/>
    <x v="3"/>
    <x v="0"/>
    <x v="947"/>
    <x v="990"/>
    <x v="1"/>
    <s v="Y"/>
    <s v="No"/>
    <x v="4"/>
    <x v="0"/>
    <n v="1"/>
    <x v="0"/>
    <n v="0"/>
    <x v="1"/>
    <n v="3"/>
    <x v="2"/>
    <x v="1"/>
    <x v="5"/>
    <x v="0"/>
    <x v="12"/>
  </r>
  <r>
    <x v="1"/>
    <x v="0"/>
    <s v="Travel_Frequently"/>
    <n v="1475"/>
    <x v="1"/>
    <n v="28"/>
    <n v="2"/>
    <s v="Life Sciences"/>
    <n v="1"/>
    <n v="1420"/>
    <x v="3"/>
    <x v="1"/>
    <x v="28"/>
    <x v="1"/>
    <x v="0"/>
    <x v="2"/>
    <x v="3"/>
    <x v="0"/>
    <x v="948"/>
    <x v="991"/>
    <x v="9"/>
    <s v="Y"/>
    <s v="No"/>
    <x v="5"/>
    <x v="1"/>
    <n v="1"/>
    <x v="0"/>
    <n v="0"/>
    <x v="26"/>
    <n v="2"/>
    <x v="1"/>
    <x v="9"/>
    <x v="7"/>
    <x v="1"/>
    <x v="6"/>
  </r>
  <r>
    <x v="11"/>
    <x v="0"/>
    <s v="Travel_Frequently"/>
    <n v="337"/>
    <x v="1"/>
    <n v="14"/>
    <n v="1"/>
    <s v="Other"/>
    <n v="1"/>
    <n v="1421"/>
    <x v="1"/>
    <x v="0"/>
    <x v="9"/>
    <x v="0"/>
    <x v="2"/>
    <x v="4"/>
    <x v="0"/>
    <x v="0"/>
    <x v="949"/>
    <x v="992"/>
    <x v="4"/>
    <s v="Y"/>
    <s v="Yes"/>
    <x v="3"/>
    <x v="0"/>
    <n v="1"/>
    <x v="0"/>
    <n v="0"/>
    <x v="15"/>
    <n v="1"/>
    <x v="1"/>
    <x v="3"/>
    <x v="1"/>
    <x v="4"/>
    <x v="1"/>
  </r>
  <r>
    <x v="33"/>
    <x v="1"/>
    <s v="Travel_Rarely"/>
    <n v="971"/>
    <x v="1"/>
    <n v="1"/>
    <n v="3"/>
    <s v="Medical"/>
    <n v="1"/>
    <n v="1422"/>
    <x v="2"/>
    <x v="0"/>
    <x v="60"/>
    <x v="0"/>
    <x v="3"/>
    <x v="7"/>
    <x v="0"/>
    <x v="0"/>
    <x v="109"/>
    <x v="993"/>
    <x v="2"/>
    <s v="Y"/>
    <s v="No"/>
    <x v="12"/>
    <x v="0"/>
    <n v="4"/>
    <x v="0"/>
    <n v="0"/>
    <x v="22"/>
    <n v="3"/>
    <x v="2"/>
    <x v="23"/>
    <x v="1"/>
    <x v="12"/>
    <x v="1"/>
  </r>
  <r>
    <x v="34"/>
    <x v="1"/>
    <s v="Travel_Rarely"/>
    <n v="1055"/>
    <x v="1"/>
    <n v="1"/>
    <n v="3"/>
    <s v="Medical"/>
    <n v="1"/>
    <n v="1423"/>
    <x v="2"/>
    <x v="0"/>
    <x v="43"/>
    <x v="0"/>
    <x v="4"/>
    <x v="7"/>
    <x v="3"/>
    <x v="1"/>
    <x v="950"/>
    <x v="994"/>
    <x v="9"/>
    <s v="Y"/>
    <s v="Yes"/>
    <x v="7"/>
    <x v="1"/>
    <n v="3"/>
    <x v="0"/>
    <n v="1"/>
    <x v="36"/>
    <n v="3"/>
    <x v="1"/>
    <x v="7"/>
    <x v="6"/>
    <x v="1"/>
    <x v="0"/>
  </r>
  <r>
    <x v="27"/>
    <x v="1"/>
    <s v="Travel_Rarely"/>
    <n v="1136"/>
    <x v="1"/>
    <n v="1"/>
    <n v="4"/>
    <s v="Medical"/>
    <n v="1"/>
    <n v="1424"/>
    <x v="0"/>
    <x v="1"/>
    <x v="6"/>
    <x v="2"/>
    <x v="3"/>
    <x v="7"/>
    <x v="0"/>
    <x v="2"/>
    <x v="951"/>
    <x v="995"/>
    <x v="7"/>
    <s v="Y"/>
    <s v="No"/>
    <x v="4"/>
    <x v="0"/>
    <n v="4"/>
    <x v="0"/>
    <n v="2"/>
    <x v="9"/>
    <n v="4"/>
    <x v="3"/>
    <x v="5"/>
    <x v="1"/>
    <x v="0"/>
    <x v="2"/>
  </r>
  <r>
    <x v="9"/>
    <x v="1"/>
    <s v="Travel_Rarely"/>
    <n v="1174"/>
    <x v="0"/>
    <n v="3"/>
    <n v="4"/>
    <s v="Marketing"/>
    <n v="1"/>
    <n v="1425"/>
    <x v="3"/>
    <x v="0"/>
    <x v="39"/>
    <x v="0"/>
    <x v="0"/>
    <x v="0"/>
    <x v="1"/>
    <x v="0"/>
    <x v="952"/>
    <x v="996"/>
    <x v="9"/>
    <s v="Y"/>
    <s v="Yes"/>
    <x v="10"/>
    <x v="0"/>
    <n v="4"/>
    <x v="0"/>
    <n v="0"/>
    <x v="20"/>
    <n v="3"/>
    <x v="1"/>
    <x v="8"/>
    <x v="0"/>
    <x v="0"/>
    <x v="9"/>
  </r>
  <r>
    <x v="12"/>
    <x v="0"/>
    <s v="Travel_Frequently"/>
    <n v="667"/>
    <x v="0"/>
    <n v="1"/>
    <n v="4"/>
    <s v="Life Sciences"/>
    <n v="1"/>
    <n v="1427"/>
    <x v="0"/>
    <x v="0"/>
    <x v="13"/>
    <x v="3"/>
    <x v="1"/>
    <x v="6"/>
    <x v="2"/>
    <x v="0"/>
    <x v="953"/>
    <x v="795"/>
    <x v="1"/>
    <s v="Y"/>
    <s v="No"/>
    <x v="3"/>
    <x v="0"/>
    <n v="2"/>
    <x v="0"/>
    <n v="0"/>
    <x v="5"/>
    <n v="3"/>
    <x v="1"/>
    <x v="6"/>
    <x v="2"/>
    <x v="0"/>
    <x v="2"/>
  </r>
  <r>
    <x v="7"/>
    <x v="1"/>
    <s v="Travel_Rarely"/>
    <n v="855"/>
    <x v="0"/>
    <n v="7"/>
    <n v="4"/>
    <s v="Marketing"/>
    <n v="1"/>
    <n v="1428"/>
    <x v="2"/>
    <x v="0"/>
    <x v="32"/>
    <x v="0"/>
    <x v="0"/>
    <x v="0"/>
    <x v="3"/>
    <x v="2"/>
    <x v="586"/>
    <x v="997"/>
    <x v="8"/>
    <s v="Y"/>
    <s v="No"/>
    <x v="9"/>
    <x v="0"/>
    <n v="2"/>
    <x v="0"/>
    <n v="2"/>
    <x v="0"/>
    <n v="3"/>
    <x v="1"/>
    <x v="11"/>
    <x v="3"/>
    <x v="0"/>
    <x v="3"/>
  </r>
  <r>
    <x v="12"/>
    <x v="1"/>
    <s v="Travel_Rarely"/>
    <n v="182"/>
    <x v="1"/>
    <n v="8"/>
    <n v="5"/>
    <s v="Life Sciences"/>
    <n v="1"/>
    <n v="1430"/>
    <x v="3"/>
    <x v="0"/>
    <x v="12"/>
    <x v="0"/>
    <x v="3"/>
    <x v="7"/>
    <x v="1"/>
    <x v="0"/>
    <x v="954"/>
    <x v="998"/>
    <x v="9"/>
    <s v="Y"/>
    <s v="No"/>
    <x v="0"/>
    <x v="0"/>
    <n v="3"/>
    <x v="0"/>
    <n v="0"/>
    <x v="15"/>
    <n v="3"/>
    <x v="3"/>
    <x v="11"/>
    <x v="3"/>
    <x v="1"/>
    <x v="2"/>
  </r>
  <r>
    <x v="13"/>
    <x v="1"/>
    <s v="Travel_Frequently"/>
    <n v="560"/>
    <x v="1"/>
    <n v="1"/>
    <n v="4"/>
    <s v="Other"/>
    <n v="1"/>
    <n v="1431"/>
    <x v="2"/>
    <x v="1"/>
    <x v="59"/>
    <x v="0"/>
    <x v="1"/>
    <x v="1"/>
    <x v="3"/>
    <x v="2"/>
    <x v="932"/>
    <x v="740"/>
    <x v="6"/>
    <s v="Y"/>
    <s v="No"/>
    <x v="9"/>
    <x v="0"/>
    <n v="3"/>
    <x v="0"/>
    <n v="2"/>
    <x v="1"/>
    <n v="2"/>
    <x v="1"/>
    <x v="9"/>
    <x v="7"/>
    <x v="1"/>
    <x v="6"/>
  </r>
  <r>
    <x v="12"/>
    <x v="0"/>
    <s v="Travel_Rarely"/>
    <n v="202"/>
    <x v="1"/>
    <n v="8"/>
    <n v="3"/>
    <s v="Life Sciences"/>
    <n v="1"/>
    <n v="1433"/>
    <x v="3"/>
    <x v="0"/>
    <x v="61"/>
    <x v="1"/>
    <x v="1"/>
    <x v="1"/>
    <x v="1"/>
    <x v="0"/>
    <x v="955"/>
    <x v="999"/>
    <x v="1"/>
    <s v="Y"/>
    <s v="No"/>
    <x v="3"/>
    <x v="0"/>
    <n v="3"/>
    <x v="0"/>
    <n v="0"/>
    <x v="5"/>
    <n v="3"/>
    <x v="3"/>
    <x v="6"/>
    <x v="2"/>
    <x v="0"/>
    <x v="2"/>
  </r>
  <r>
    <x v="4"/>
    <x v="1"/>
    <s v="Travel_Rarely"/>
    <n v="1377"/>
    <x v="1"/>
    <n v="11"/>
    <n v="1"/>
    <s v="Life Sciences"/>
    <n v="1"/>
    <n v="1434"/>
    <x v="0"/>
    <x v="1"/>
    <x v="59"/>
    <x v="0"/>
    <x v="1"/>
    <x v="2"/>
    <x v="3"/>
    <x v="1"/>
    <x v="956"/>
    <x v="1000"/>
    <x v="4"/>
    <s v="Y"/>
    <s v="No"/>
    <x v="9"/>
    <x v="0"/>
    <n v="2"/>
    <x v="0"/>
    <n v="0"/>
    <x v="3"/>
    <n v="3"/>
    <x v="3"/>
    <x v="8"/>
    <x v="2"/>
    <x v="1"/>
    <x v="10"/>
  </r>
  <r>
    <x v="9"/>
    <x v="1"/>
    <s v="Travel_Rarely"/>
    <n v="172"/>
    <x v="1"/>
    <n v="4"/>
    <n v="4"/>
    <s v="Life Sciences"/>
    <n v="1"/>
    <n v="1435"/>
    <x v="3"/>
    <x v="1"/>
    <x v="31"/>
    <x v="1"/>
    <x v="0"/>
    <x v="2"/>
    <x v="0"/>
    <x v="0"/>
    <x v="957"/>
    <x v="1001"/>
    <x v="1"/>
    <s v="Y"/>
    <s v="No"/>
    <x v="10"/>
    <x v="0"/>
    <n v="3"/>
    <x v="0"/>
    <n v="0"/>
    <x v="1"/>
    <n v="2"/>
    <x v="2"/>
    <x v="1"/>
    <x v="0"/>
    <x v="1"/>
    <x v="5"/>
  </r>
  <r>
    <x v="9"/>
    <x v="1"/>
    <s v="Travel_Rarely"/>
    <n v="329"/>
    <x v="0"/>
    <n v="16"/>
    <n v="4"/>
    <s v="Marketing"/>
    <n v="1"/>
    <n v="1436"/>
    <x v="1"/>
    <x v="0"/>
    <x v="33"/>
    <x v="1"/>
    <x v="0"/>
    <x v="0"/>
    <x v="3"/>
    <x v="1"/>
    <x v="958"/>
    <x v="1002"/>
    <x v="5"/>
    <s v="Y"/>
    <s v="No"/>
    <x v="4"/>
    <x v="0"/>
    <n v="1"/>
    <x v="0"/>
    <n v="2"/>
    <x v="27"/>
    <n v="3"/>
    <x v="2"/>
    <x v="11"/>
    <x v="3"/>
    <x v="0"/>
    <x v="3"/>
  </r>
  <r>
    <x v="40"/>
    <x v="1"/>
    <s v="Travel_Rarely"/>
    <n v="465"/>
    <x v="1"/>
    <n v="1"/>
    <n v="3"/>
    <s v="Technical Degree"/>
    <n v="1"/>
    <n v="1438"/>
    <x v="3"/>
    <x v="1"/>
    <x v="69"/>
    <x v="0"/>
    <x v="1"/>
    <x v="1"/>
    <x v="0"/>
    <x v="1"/>
    <x v="959"/>
    <x v="1003"/>
    <x v="8"/>
    <s v="Y"/>
    <s v="No"/>
    <x v="3"/>
    <x v="0"/>
    <n v="3"/>
    <x v="0"/>
    <n v="1"/>
    <x v="6"/>
    <n v="2"/>
    <x v="2"/>
    <x v="0"/>
    <x v="4"/>
    <x v="1"/>
    <x v="3"/>
  </r>
  <r>
    <x v="36"/>
    <x v="0"/>
    <s v="Travel_Rarely"/>
    <n v="383"/>
    <x v="0"/>
    <n v="9"/>
    <n v="2"/>
    <s v="Life Sciences"/>
    <n v="1"/>
    <n v="1439"/>
    <x v="3"/>
    <x v="1"/>
    <x v="67"/>
    <x v="1"/>
    <x v="1"/>
    <x v="6"/>
    <x v="3"/>
    <x v="1"/>
    <x v="960"/>
    <x v="1004"/>
    <x v="9"/>
    <s v="Y"/>
    <s v="No"/>
    <x v="3"/>
    <x v="0"/>
    <n v="1"/>
    <x v="0"/>
    <n v="0"/>
    <x v="3"/>
    <n v="2"/>
    <x v="1"/>
    <x v="11"/>
    <x v="3"/>
    <x v="3"/>
    <x v="3"/>
  </r>
  <r>
    <x v="2"/>
    <x v="1"/>
    <s v="Non-Travel"/>
    <n v="1413"/>
    <x v="1"/>
    <n v="5"/>
    <n v="2"/>
    <s v="Technical Degree"/>
    <n v="1"/>
    <n v="1440"/>
    <x v="1"/>
    <x v="1"/>
    <x v="9"/>
    <x v="2"/>
    <x v="1"/>
    <x v="2"/>
    <x v="2"/>
    <x v="0"/>
    <x v="961"/>
    <x v="1005"/>
    <x v="4"/>
    <s v="Y"/>
    <s v="No"/>
    <x v="9"/>
    <x v="0"/>
    <n v="1"/>
    <x v="0"/>
    <n v="0"/>
    <x v="2"/>
    <n v="2"/>
    <x v="0"/>
    <x v="0"/>
    <x v="4"/>
    <x v="1"/>
    <x v="6"/>
  </r>
  <r>
    <x v="29"/>
    <x v="1"/>
    <s v="Travel_Rarely"/>
    <n v="1255"/>
    <x v="1"/>
    <n v="1"/>
    <n v="2"/>
    <s v="Life Sciences"/>
    <n v="1"/>
    <n v="1441"/>
    <x v="3"/>
    <x v="0"/>
    <x v="62"/>
    <x v="0"/>
    <x v="1"/>
    <x v="1"/>
    <x v="3"/>
    <x v="1"/>
    <x v="962"/>
    <x v="1006"/>
    <x v="7"/>
    <s v="Y"/>
    <s v="No"/>
    <x v="6"/>
    <x v="1"/>
    <n v="4"/>
    <x v="0"/>
    <n v="1"/>
    <x v="7"/>
    <n v="3"/>
    <x v="3"/>
    <x v="11"/>
    <x v="3"/>
    <x v="1"/>
    <x v="2"/>
  </r>
  <r>
    <x v="40"/>
    <x v="1"/>
    <s v="Travel_Rarely"/>
    <n v="359"/>
    <x v="1"/>
    <n v="2"/>
    <n v="4"/>
    <s v="Medical"/>
    <n v="1"/>
    <n v="1443"/>
    <x v="3"/>
    <x v="0"/>
    <x v="19"/>
    <x v="0"/>
    <x v="3"/>
    <x v="7"/>
    <x v="2"/>
    <x v="1"/>
    <x v="963"/>
    <x v="1007"/>
    <x v="9"/>
    <s v="Y"/>
    <s v="No"/>
    <x v="12"/>
    <x v="0"/>
    <n v="2"/>
    <x v="0"/>
    <n v="2"/>
    <x v="12"/>
    <n v="2"/>
    <x v="3"/>
    <x v="23"/>
    <x v="18"/>
    <x v="8"/>
    <x v="4"/>
  </r>
  <r>
    <x v="17"/>
    <x v="1"/>
    <s v="Travel_Rarely"/>
    <n v="1476"/>
    <x v="0"/>
    <n v="4"/>
    <n v="1"/>
    <s v="Medical"/>
    <n v="1"/>
    <n v="1445"/>
    <x v="2"/>
    <x v="0"/>
    <x v="25"/>
    <x v="0"/>
    <x v="0"/>
    <x v="0"/>
    <x v="2"/>
    <x v="1"/>
    <x v="964"/>
    <x v="1008"/>
    <x v="1"/>
    <s v="Y"/>
    <s v="Yes"/>
    <x v="3"/>
    <x v="0"/>
    <n v="3"/>
    <x v="0"/>
    <n v="2"/>
    <x v="7"/>
    <n v="3"/>
    <x v="1"/>
    <x v="8"/>
    <x v="0"/>
    <x v="0"/>
    <x v="6"/>
  </r>
  <r>
    <x v="5"/>
    <x v="1"/>
    <s v="Travel_Rarely"/>
    <n v="601"/>
    <x v="0"/>
    <n v="7"/>
    <n v="5"/>
    <s v="Marketing"/>
    <n v="1"/>
    <n v="1446"/>
    <x v="2"/>
    <x v="1"/>
    <x v="28"/>
    <x v="0"/>
    <x v="0"/>
    <x v="0"/>
    <x v="0"/>
    <x v="1"/>
    <x v="965"/>
    <x v="1009"/>
    <x v="5"/>
    <s v="Y"/>
    <s v="No"/>
    <x v="3"/>
    <x v="0"/>
    <n v="3"/>
    <x v="0"/>
    <n v="1"/>
    <x v="2"/>
    <n v="3"/>
    <x v="2"/>
    <x v="9"/>
    <x v="7"/>
    <x v="0"/>
    <x v="6"/>
  </r>
  <r>
    <x v="13"/>
    <x v="1"/>
    <s v="Travel_Rarely"/>
    <n v="401"/>
    <x v="1"/>
    <n v="1"/>
    <n v="3"/>
    <s v="Life Sciences"/>
    <n v="1"/>
    <n v="1447"/>
    <x v="2"/>
    <x v="0"/>
    <x v="27"/>
    <x v="1"/>
    <x v="1"/>
    <x v="2"/>
    <x v="1"/>
    <x v="1"/>
    <x v="635"/>
    <x v="1010"/>
    <x v="6"/>
    <s v="Y"/>
    <s v="No"/>
    <x v="8"/>
    <x v="0"/>
    <n v="1"/>
    <x v="0"/>
    <n v="1"/>
    <x v="2"/>
    <n v="2"/>
    <x v="2"/>
    <x v="8"/>
    <x v="0"/>
    <x v="0"/>
    <x v="3"/>
  </r>
  <r>
    <x v="0"/>
    <x v="1"/>
    <s v="Travel_Rarely"/>
    <n v="1283"/>
    <x v="1"/>
    <n v="5"/>
    <n v="5"/>
    <s v="Medical"/>
    <n v="1"/>
    <n v="1448"/>
    <x v="0"/>
    <x v="1"/>
    <x v="62"/>
    <x v="2"/>
    <x v="1"/>
    <x v="1"/>
    <x v="2"/>
    <x v="1"/>
    <x v="459"/>
    <x v="1011"/>
    <x v="7"/>
    <s v="Y"/>
    <s v="Yes"/>
    <x v="3"/>
    <x v="0"/>
    <n v="1"/>
    <x v="0"/>
    <n v="0"/>
    <x v="2"/>
    <n v="5"/>
    <x v="2"/>
    <x v="9"/>
    <x v="3"/>
    <x v="0"/>
    <x v="6"/>
  </r>
  <r>
    <x v="32"/>
    <x v="1"/>
    <s v="Non-Travel"/>
    <n v="663"/>
    <x v="1"/>
    <n v="9"/>
    <n v="4"/>
    <s v="Other"/>
    <n v="1"/>
    <n v="1449"/>
    <x v="1"/>
    <x v="1"/>
    <x v="6"/>
    <x v="0"/>
    <x v="0"/>
    <x v="2"/>
    <x v="2"/>
    <x v="2"/>
    <x v="966"/>
    <x v="1012"/>
    <x v="9"/>
    <s v="Y"/>
    <s v="No"/>
    <x v="0"/>
    <x v="0"/>
    <n v="3"/>
    <x v="0"/>
    <n v="2"/>
    <x v="27"/>
    <n v="2"/>
    <x v="3"/>
    <x v="3"/>
    <x v="1"/>
    <x v="0"/>
    <x v="1"/>
  </r>
  <r>
    <x v="12"/>
    <x v="1"/>
    <s v="Travel_Rarely"/>
    <n v="326"/>
    <x v="0"/>
    <n v="8"/>
    <n v="2"/>
    <s v="Life Sciences"/>
    <n v="1"/>
    <n v="1453"/>
    <x v="3"/>
    <x v="1"/>
    <x v="11"/>
    <x v="0"/>
    <x v="2"/>
    <x v="0"/>
    <x v="0"/>
    <x v="2"/>
    <x v="967"/>
    <x v="1013"/>
    <x v="1"/>
    <s v="Y"/>
    <s v="No"/>
    <x v="11"/>
    <x v="0"/>
    <n v="1"/>
    <x v="0"/>
    <n v="1"/>
    <x v="10"/>
    <n v="5"/>
    <x v="1"/>
    <x v="20"/>
    <x v="1"/>
    <x v="10"/>
    <x v="12"/>
  </r>
  <r>
    <x v="21"/>
    <x v="0"/>
    <s v="Travel_Rarely"/>
    <n v="377"/>
    <x v="0"/>
    <n v="9"/>
    <n v="3"/>
    <s v="Marketing"/>
    <n v="1"/>
    <n v="1457"/>
    <x v="3"/>
    <x v="1"/>
    <x v="48"/>
    <x v="0"/>
    <x v="2"/>
    <x v="0"/>
    <x v="0"/>
    <x v="2"/>
    <x v="61"/>
    <x v="195"/>
    <x v="5"/>
    <s v="Y"/>
    <s v="No"/>
    <x v="0"/>
    <x v="0"/>
    <n v="1"/>
    <x v="0"/>
    <n v="1"/>
    <x v="23"/>
    <n v="1"/>
    <x v="3"/>
    <x v="5"/>
    <x v="1"/>
    <x v="5"/>
    <x v="6"/>
  </r>
  <r>
    <x v="22"/>
    <x v="0"/>
    <s v="Non-Travel"/>
    <n v="592"/>
    <x v="1"/>
    <n v="2"/>
    <n v="3"/>
    <s v="Life Sciences"/>
    <n v="1"/>
    <n v="1458"/>
    <x v="3"/>
    <x v="0"/>
    <x v="60"/>
    <x v="1"/>
    <x v="1"/>
    <x v="2"/>
    <x v="3"/>
    <x v="0"/>
    <x v="968"/>
    <x v="1014"/>
    <x v="7"/>
    <s v="Y"/>
    <s v="Yes"/>
    <x v="1"/>
    <x v="1"/>
    <n v="2"/>
    <x v="0"/>
    <n v="0"/>
    <x v="27"/>
    <n v="2"/>
    <x v="3"/>
    <x v="6"/>
    <x v="2"/>
    <x v="0"/>
    <x v="2"/>
  </r>
  <r>
    <x v="12"/>
    <x v="0"/>
    <s v="Travel_Frequently"/>
    <n v="1445"/>
    <x v="1"/>
    <n v="1"/>
    <n v="5"/>
    <s v="Life Sciences"/>
    <n v="1"/>
    <n v="1459"/>
    <x v="1"/>
    <x v="0"/>
    <x v="54"/>
    <x v="2"/>
    <x v="2"/>
    <x v="3"/>
    <x v="1"/>
    <x v="0"/>
    <x v="969"/>
    <x v="1015"/>
    <x v="1"/>
    <s v="Y"/>
    <s v="No"/>
    <x v="0"/>
    <x v="0"/>
    <n v="1"/>
    <x v="0"/>
    <n v="0"/>
    <x v="1"/>
    <n v="2"/>
    <x v="1"/>
    <x v="1"/>
    <x v="6"/>
    <x v="5"/>
    <x v="1"/>
  </r>
  <r>
    <x v="28"/>
    <x v="1"/>
    <s v="Travel_Rarely"/>
    <n v="1038"/>
    <x v="1"/>
    <n v="20"/>
    <n v="3"/>
    <s v="Medical"/>
    <n v="1"/>
    <n v="1460"/>
    <x v="0"/>
    <x v="1"/>
    <x v="41"/>
    <x v="3"/>
    <x v="2"/>
    <x v="4"/>
    <x v="3"/>
    <x v="2"/>
    <x v="970"/>
    <x v="1016"/>
    <x v="7"/>
    <s v="Y"/>
    <s v="Yes"/>
    <x v="11"/>
    <x v="0"/>
    <n v="2"/>
    <x v="0"/>
    <n v="1"/>
    <x v="13"/>
    <n v="2"/>
    <x v="1"/>
    <x v="5"/>
    <x v="1"/>
    <x v="0"/>
    <x v="1"/>
  </r>
  <r>
    <x v="12"/>
    <x v="1"/>
    <s v="Travel_Rarely"/>
    <n v="1398"/>
    <x v="2"/>
    <n v="8"/>
    <n v="2"/>
    <s v="Medical"/>
    <n v="1"/>
    <n v="1461"/>
    <x v="2"/>
    <x v="0"/>
    <x v="16"/>
    <x v="2"/>
    <x v="1"/>
    <x v="8"/>
    <x v="1"/>
    <x v="0"/>
    <x v="971"/>
    <x v="1017"/>
    <x v="3"/>
    <s v="Y"/>
    <s v="No"/>
    <x v="11"/>
    <x v="0"/>
    <n v="4"/>
    <x v="0"/>
    <n v="0"/>
    <x v="0"/>
    <n v="3"/>
    <x v="1"/>
    <x v="11"/>
    <x v="3"/>
    <x v="0"/>
    <x v="3"/>
  </r>
  <r>
    <x v="12"/>
    <x v="0"/>
    <s v="Travel_Frequently"/>
    <n v="523"/>
    <x v="1"/>
    <n v="2"/>
    <n v="3"/>
    <s v="Life Sciences"/>
    <n v="1"/>
    <n v="1464"/>
    <x v="0"/>
    <x v="1"/>
    <x v="0"/>
    <x v="0"/>
    <x v="1"/>
    <x v="2"/>
    <x v="0"/>
    <x v="1"/>
    <x v="972"/>
    <x v="1018"/>
    <x v="2"/>
    <s v="Y"/>
    <s v="Yes"/>
    <x v="4"/>
    <x v="0"/>
    <n v="3"/>
    <x v="0"/>
    <n v="1"/>
    <x v="2"/>
    <n v="2"/>
    <x v="0"/>
    <x v="4"/>
    <x v="3"/>
    <x v="3"/>
    <x v="3"/>
  </r>
  <r>
    <x v="28"/>
    <x v="1"/>
    <s v="Travel_Rarely"/>
    <n v="1448"/>
    <x v="1"/>
    <n v="29"/>
    <n v="3"/>
    <s v="Technical Degree"/>
    <n v="1"/>
    <n v="1465"/>
    <x v="0"/>
    <x v="1"/>
    <x v="46"/>
    <x v="0"/>
    <x v="2"/>
    <x v="3"/>
    <x v="0"/>
    <x v="1"/>
    <x v="973"/>
    <x v="1019"/>
    <x v="5"/>
    <s v="Y"/>
    <s v="Yes"/>
    <x v="11"/>
    <x v="0"/>
    <n v="4"/>
    <x v="0"/>
    <n v="2"/>
    <x v="1"/>
    <n v="4"/>
    <x v="3"/>
    <x v="11"/>
    <x v="10"/>
    <x v="1"/>
    <x v="3"/>
  </r>
  <r>
    <x v="26"/>
    <x v="1"/>
    <s v="Travel_Rarely"/>
    <n v="1221"/>
    <x v="0"/>
    <n v="7"/>
    <n v="3"/>
    <s v="Marketing"/>
    <n v="1"/>
    <n v="1466"/>
    <x v="1"/>
    <x v="1"/>
    <x v="16"/>
    <x v="0"/>
    <x v="0"/>
    <x v="0"/>
    <x v="3"/>
    <x v="2"/>
    <x v="974"/>
    <x v="1020"/>
    <x v="5"/>
    <s v="Y"/>
    <s v="No"/>
    <x v="0"/>
    <x v="0"/>
    <n v="1"/>
    <x v="0"/>
    <n v="3"/>
    <x v="20"/>
    <n v="3"/>
    <x v="1"/>
    <x v="4"/>
    <x v="3"/>
    <x v="3"/>
    <x v="3"/>
  </r>
  <r>
    <x v="13"/>
    <x v="0"/>
    <s v="Travel_Rarely"/>
    <n v="1107"/>
    <x v="2"/>
    <n v="9"/>
    <n v="4"/>
    <s v="Technical Degree"/>
    <n v="1"/>
    <n v="1467"/>
    <x v="3"/>
    <x v="0"/>
    <x v="48"/>
    <x v="0"/>
    <x v="1"/>
    <x v="8"/>
    <x v="2"/>
    <x v="1"/>
    <x v="975"/>
    <x v="1021"/>
    <x v="1"/>
    <s v="Y"/>
    <s v="No"/>
    <x v="2"/>
    <x v="0"/>
    <n v="4"/>
    <x v="0"/>
    <n v="0"/>
    <x v="17"/>
    <n v="0"/>
    <x v="1"/>
    <x v="4"/>
    <x v="3"/>
    <x v="3"/>
    <x v="3"/>
  </r>
  <r>
    <x v="32"/>
    <x v="1"/>
    <s v="Non-Travel"/>
    <n v="218"/>
    <x v="1"/>
    <n v="8"/>
    <n v="1"/>
    <s v="Medical"/>
    <n v="1"/>
    <n v="1468"/>
    <x v="2"/>
    <x v="1"/>
    <x v="46"/>
    <x v="1"/>
    <x v="2"/>
    <x v="7"/>
    <x v="1"/>
    <x v="2"/>
    <x v="976"/>
    <x v="1022"/>
    <x v="7"/>
    <s v="Y"/>
    <s v="No"/>
    <x v="0"/>
    <x v="0"/>
    <n v="3"/>
    <x v="0"/>
    <n v="1"/>
    <x v="28"/>
    <n v="5"/>
    <x v="1"/>
    <x v="7"/>
    <x v="6"/>
    <x v="5"/>
    <x v="5"/>
  </r>
  <r>
    <x v="14"/>
    <x v="1"/>
    <s v="Travel_Rarely"/>
    <n v="866"/>
    <x v="0"/>
    <n v="5"/>
    <n v="3"/>
    <s v="Medical"/>
    <n v="1"/>
    <n v="1469"/>
    <x v="2"/>
    <x v="1"/>
    <x v="9"/>
    <x v="0"/>
    <x v="0"/>
    <x v="0"/>
    <x v="3"/>
    <x v="0"/>
    <x v="977"/>
    <x v="1023"/>
    <x v="4"/>
    <s v="Y"/>
    <s v="No"/>
    <x v="11"/>
    <x v="0"/>
    <n v="4"/>
    <x v="0"/>
    <n v="0"/>
    <x v="3"/>
    <n v="4"/>
    <x v="1"/>
    <x v="8"/>
    <x v="0"/>
    <x v="1"/>
    <x v="6"/>
  </r>
  <r>
    <x v="20"/>
    <x v="1"/>
    <s v="Non-Travel"/>
    <n v="981"/>
    <x v="1"/>
    <n v="5"/>
    <n v="3"/>
    <s v="Life Sciences"/>
    <n v="1"/>
    <n v="1471"/>
    <x v="1"/>
    <x v="1"/>
    <x v="62"/>
    <x v="1"/>
    <x v="1"/>
    <x v="2"/>
    <x v="2"/>
    <x v="0"/>
    <x v="612"/>
    <x v="1024"/>
    <x v="9"/>
    <s v="Y"/>
    <s v="No"/>
    <x v="9"/>
    <x v="0"/>
    <n v="4"/>
    <x v="0"/>
    <n v="0"/>
    <x v="2"/>
    <n v="5"/>
    <x v="1"/>
    <x v="8"/>
    <x v="3"/>
    <x v="0"/>
    <x v="6"/>
  </r>
  <r>
    <x v="16"/>
    <x v="1"/>
    <s v="Travel_Rarely"/>
    <n v="447"/>
    <x v="1"/>
    <n v="2"/>
    <n v="3"/>
    <s v="Medical"/>
    <n v="1"/>
    <n v="1472"/>
    <x v="2"/>
    <x v="1"/>
    <x v="56"/>
    <x v="2"/>
    <x v="3"/>
    <x v="7"/>
    <x v="1"/>
    <x v="0"/>
    <x v="978"/>
    <x v="1025"/>
    <x v="5"/>
    <s v="Y"/>
    <s v="No"/>
    <x v="3"/>
    <x v="0"/>
    <n v="2"/>
    <x v="0"/>
    <n v="0"/>
    <x v="38"/>
    <n v="2"/>
    <x v="2"/>
    <x v="7"/>
    <x v="6"/>
    <x v="6"/>
    <x v="5"/>
  </r>
  <r>
    <x v="1"/>
    <x v="1"/>
    <s v="Travel_Rarely"/>
    <n v="1495"/>
    <x v="1"/>
    <n v="5"/>
    <n v="4"/>
    <s v="Technical Degree"/>
    <n v="1"/>
    <n v="1473"/>
    <x v="3"/>
    <x v="1"/>
    <x v="16"/>
    <x v="0"/>
    <x v="0"/>
    <x v="4"/>
    <x v="2"/>
    <x v="1"/>
    <x v="979"/>
    <x v="932"/>
    <x v="7"/>
    <s v="Y"/>
    <s v="No"/>
    <x v="9"/>
    <x v="0"/>
    <n v="2"/>
    <x v="0"/>
    <n v="1"/>
    <x v="26"/>
    <n v="0"/>
    <x v="2"/>
    <x v="11"/>
    <x v="3"/>
    <x v="1"/>
    <x v="3"/>
  </r>
  <r>
    <x v="32"/>
    <x v="1"/>
    <s v="Travel_Rarely"/>
    <n v="896"/>
    <x v="1"/>
    <n v="2"/>
    <n v="3"/>
    <s v="Medical"/>
    <n v="1"/>
    <n v="1474"/>
    <x v="1"/>
    <x v="1"/>
    <x v="67"/>
    <x v="0"/>
    <x v="1"/>
    <x v="1"/>
    <x v="2"/>
    <x v="2"/>
    <x v="980"/>
    <x v="1026"/>
    <x v="7"/>
    <s v="Y"/>
    <s v="No"/>
    <x v="9"/>
    <x v="0"/>
    <n v="3"/>
    <x v="0"/>
    <n v="1"/>
    <x v="0"/>
    <n v="3"/>
    <x v="3"/>
    <x v="11"/>
    <x v="10"/>
    <x v="1"/>
    <x v="3"/>
  </r>
  <r>
    <x v="20"/>
    <x v="1"/>
    <s v="Travel_Rarely"/>
    <n v="1467"/>
    <x v="1"/>
    <n v="20"/>
    <n v="3"/>
    <s v="Life Sciences"/>
    <n v="1"/>
    <n v="1475"/>
    <x v="2"/>
    <x v="1"/>
    <x v="10"/>
    <x v="0"/>
    <x v="1"/>
    <x v="1"/>
    <x v="1"/>
    <x v="0"/>
    <x v="959"/>
    <x v="1027"/>
    <x v="1"/>
    <s v="Y"/>
    <s v="No"/>
    <x v="4"/>
    <x v="0"/>
    <n v="3"/>
    <x v="0"/>
    <n v="0"/>
    <x v="3"/>
    <n v="3"/>
    <x v="2"/>
    <x v="8"/>
    <x v="3"/>
    <x v="1"/>
    <x v="6"/>
  </r>
  <r>
    <x v="3"/>
    <x v="1"/>
    <s v="Travel_Frequently"/>
    <n v="430"/>
    <x v="0"/>
    <n v="7"/>
    <n v="3"/>
    <s v="Medical"/>
    <n v="1"/>
    <n v="1477"/>
    <x v="2"/>
    <x v="1"/>
    <x v="60"/>
    <x v="0"/>
    <x v="0"/>
    <x v="0"/>
    <x v="3"/>
    <x v="1"/>
    <x v="981"/>
    <x v="1028"/>
    <x v="4"/>
    <s v="Y"/>
    <s v="No"/>
    <x v="9"/>
    <x v="0"/>
    <n v="1"/>
    <x v="0"/>
    <n v="2"/>
    <x v="7"/>
    <n v="2"/>
    <x v="1"/>
    <x v="9"/>
    <x v="7"/>
    <x v="0"/>
    <x v="6"/>
  </r>
  <r>
    <x v="13"/>
    <x v="1"/>
    <s v="Travel_Rarely"/>
    <n v="1326"/>
    <x v="0"/>
    <n v="3"/>
    <n v="3"/>
    <s v="Other"/>
    <n v="1"/>
    <n v="1478"/>
    <x v="2"/>
    <x v="1"/>
    <x v="6"/>
    <x v="3"/>
    <x v="0"/>
    <x v="0"/>
    <x v="3"/>
    <x v="0"/>
    <x v="982"/>
    <x v="962"/>
    <x v="9"/>
    <s v="Y"/>
    <s v="No"/>
    <x v="11"/>
    <x v="0"/>
    <n v="4"/>
    <x v="0"/>
    <n v="0"/>
    <x v="20"/>
    <n v="2"/>
    <x v="1"/>
    <x v="20"/>
    <x v="5"/>
    <x v="2"/>
    <x v="11"/>
  </r>
  <r>
    <x v="7"/>
    <x v="1"/>
    <s v="Travel_Rarely"/>
    <n v="1358"/>
    <x v="0"/>
    <n v="16"/>
    <n v="1"/>
    <s v="Life Sciences"/>
    <n v="1"/>
    <n v="1479"/>
    <x v="2"/>
    <x v="1"/>
    <x v="16"/>
    <x v="0"/>
    <x v="0"/>
    <x v="0"/>
    <x v="2"/>
    <x v="1"/>
    <x v="983"/>
    <x v="1029"/>
    <x v="0"/>
    <s v="Y"/>
    <s v="No"/>
    <x v="2"/>
    <x v="0"/>
    <n v="3"/>
    <x v="0"/>
    <n v="2"/>
    <x v="21"/>
    <n v="2"/>
    <x v="2"/>
    <x v="4"/>
    <x v="10"/>
    <x v="3"/>
    <x v="3"/>
  </r>
  <r>
    <x v="19"/>
    <x v="1"/>
    <s v="Travel_Frequently"/>
    <n v="748"/>
    <x v="1"/>
    <n v="9"/>
    <n v="2"/>
    <s v="Medical"/>
    <n v="1"/>
    <n v="1480"/>
    <x v="3"/>
    <x v="0"/>
    <x v="69"/>
    <x v="0"/>
    <x v="1"/>
    <x v="2"/>
    <x v="0"/>
    <x v="0"/>
    <x v="984"/>
    <x v="1030"/>
    <x v="1"/>
    <s v="Y"/>
    <s v="No"/>
    <x v="4"/>
    <x v="0"/>
    <n v="3"/>
    <x v="0"/>
    <n v="0"/>
    <x v="4"/>
    <n v="3"/>
    <x v="1"/>
    <x v="12"/>
    <x v="5"/>
    <x v="8"/>
    <x v="5"/>
  </r>
  <r>
    <x v="20"/>
    <x v="1"/>
    <s v="Travel_Frequently"/>
    <n v="383"/>
    <x v="0"/>
    <n v="1"/>
    <n v="5"/>
    <s v="Marketing"/>
    <n v="1"/>
    <n v="1481"/>
    <x v="3"/>
    <x v="0"/>
    <x v="5"/>
    <x v="0"/>
    <x v="0"/>
    <x v="0"/>
    <x v="2"/>
    <x v="1"/>
    <x v="985"/>
    <x v="1031"/>
    <x v="8"/>
    <s v="Y"/>
    <s v="No"/>
    <x v="3"/>
    <x v="0"/>
    <n v="3"/>
    <x v="0"/>
    <n v="1"/>
    <x v="27"/>
    <n v="4"/>
    <x v="2"/>
    <x v="6"/>
    <x v="2"/>
    <x v="0"/>
    <x v="2"/>
  </r>
  <r>
    <x v="7"/>
    <x v="1"/>
    <s v="Non-Travel"/>
    <n v="990"/>
    <x v="1"/>
    <n v="7"/>
    <n v="3"/>
    <s v="Technical Degree"/>
    <n v="1"/>
    <n v="1482"/>
    <x v="1"/>
    <x v="1"/>
    <x v="51"/>
    <x v="0"/>
    <x v="1"/>
    <x v="1"/>
    <x v="2"/>
    <x v="2"/>
    <x v="986"/>
    <x v="1032"/>
    <x v="1"/>
    <s v="Y"/>
    <s v="No"/>
    <x v="4"/>
    <x v="0"/>
    <n v="2"/>
    <x v="0"/>
    <n v="2"/>
    <x v="5"/>
    <n v="2"/>
    <x v="2"/>
    <x v="6"/>
    <x v="2"/>
    <x v="0"/>
    <x v="2"/>
  </r>
  <r>
    <x v="38"/>
    <x v="1"/>
    <s v="Travel_Rarely"/>
    <n v="405"/>
    <x v="1"/>
    <n v="1"/>
    <n v="2"/>
    <s v="Life Sciences"/>
    <n v="1"/>
    <n v="1483"/>
    <x v="0"/>
    <x v="1"/>
    <x v="12"/>
    <x v="2"/>
    <x v="0"/>
    <x v="1"/>
    <x v="2"/>
    <x v="1"/>
    <x v="987"/>
    <x v="1033"/>
    <x v="4"/>
    <s v="Y"/>
    <s v="No"/>
    <x v="13"/>
    <x v="1"/>
    <n v="1"/>
    <x v="0"/>
    <n v="1"/>
    <x v="10"/>
    <n v="2"/>
    <x v="2"/>
    <x v="12"/>
    <x v="5"/>
    <x v="3"/>
    <x v="5"/>
  </r>
  <r>
    <x v="1"/>
    <x v="1"/>
    <s v="Travel_Rarely"/>
    <n v="1490"/>
    <x v="1"/>
    <n v="7"/>
    <n v="4"/>
    <s v="Life Sciences"/>
    <n v="1"/>
    <n v="1484"/>
    <x v="1"/>
    <x v="1"/>
    <x v="58"/>
    <x v="0"/>
    <x v="2"/>
    <x v="4"/>
    <x v="1"/>
    <x v="2"/>
    <x v="988"/>
    <x v="1034"/>
    <x v="9"/>
    <s v="Y"/>
    <s v="No"/>
    <x v="9"/>
    <x v="0"/>
    <n v="2"/>
    <x v="0"/>
    <n v="2"/>
    <x v="22"/>
    <n v="3"/>
    <x v="1"/>
    <x v="3"/>
    <x v="1"/>
    <x v="0"/>
    <x v="1"/>
  </r>
  <r>
    <x v="13"/>
    <x v="1"/>
    <s v="Travel_Frequently"/>
    <n v="829"/>
    <x v="1"/>
    <n v="15"/>
    <n v="3"/>
    <s v="Medical"/>
    <n v="1"/>
    <n v="1485"/>
    <x v="0"/>
    <x v="1"/>
    <x v="36"/>
    <x v="0"/>
    <x v="3"/>
    <x v="7"/>
    <x v="3"/>
    <x v="2"/>
    <x v="989"/>
    <x v="1035"/>
    <x v="8"/>
    <s v="Y"/>
    <s v="No"/>
    <x v="9"/>
    <x v="0"/>
    <n v="4"/>
    <x v="0"/>
    <n v="2"/>
    <x v="28"/>
    <n v="3"/>
    <x v="2"/>
    <x v="13"/>
    <x v="6"/>
    <x v="7"/>
    <x v="12"/>
  </r>
  <r>
    <x v="14"/>
    <x v="0"/>
    <s v="Travel_Frequently"/>
    <n v="1496"/>
    <x v="0"/>
    <n v="1"/>
    <n v="3"/>
    <s v="Technical Degree"/>
    <n v="1"/>
    <n v="1486"/>
    <x v="3"/>
    <x v="1"/>
    <x v="2"/>
    <x v="0"/>
    <x v="1"/>
    <x v="6"/>
    <x v="2"/>
    <x v="1"/>
    <x v="3"/>
    <x v="1036"/>
    <x v="9"/>
    <s v="Y"/>
    <s v="No"/>
    <x v="2"/>
    <x v="0"/>
    <n v="4"/>
    <x v="0"/>
    <n v="1"/>
    <x v="7"/>
    <n v="3"/>
    <x v="3"/>
    <x v="11"/>
    <x v="3"/>
    <x v="1"/>
    <x v="3"/>
  </r>
  <r>
    <x v="11"/>
    <x v="0"/>
    <s v="Travel_Frequently"/>
    <n v="115"/>
    <x v="0"/>
    <n v="13"/>
    <n v="3"/>
    <s v="Technical Degree"/>
    <n v="1"/>
    <n v="1487"/>
    <x v="3"/>
    <x v="0"/>
    <x v="14"/>
    <x v="0"/>
    <x v="0"/>
    <x v="0"/>
    <x v="1"/>
    <x v="0"/>
    <x v="990"/>
    <x v="1037"/>
    <x v="6"/>
    <s v="Y"/>
    <s v="No"/>
    <x v="0"/>
    <x v="0"/>
    <n v="1"/>
    <x v="0"/>
    <n v="0"/>
    <x v="2"/>
    <n v="4"/>
    <x v="0"/>
    <x v="8"/>
    <x v="7"/>
    <x v="0"/>
    <x v="2"/>
  </r>
  <r>
    <x v="13"/>
    <x v="0"/>
    <s v="Travel_Rarely"/>
    <n v="790"/>
    <x v="0"/>
    <n v="24"/>
    <n v="4"/>
    <s v="Medical"/>
    <n v="1"/>
    <n v="1489"/>
    <x v="3"/>
    <x v="0"/>
    <x v="4"/>
    <x v="1"/>
    <x v="0"/>
    <x v="0"/>
    <x v="1"/>
    <x v="0"/>
    <x v="991"/>
    <x v="1038"/>
    <x v="4"/>
    <s v="Y"/>
    <s v="Yes"/>
    <x v="1"/>
    <x v="1"/>
    <n v="3"/>
    <x v="0"/>
    <n v="0"/>
    <x v="28"/>
    <n v="2"/>
    <x v="3"/>
    <x v="15"/>
    <x v="5"/>
    <x v="13"/>
    <x v="13"/>
  </r>
  <r>
    <x v="10"/>
    <x v="1"/>
    <s v="Travel_Rarely"/>
    <n v="660"/>
    <x v="0"/>
    <n v="7"/>
    <n v="1"/>
    <s v="Life Sciences"/>
    <n v="1"/>
    <n v="1492"/>
    <x v="2"/>
    <x v="1"/>
    <x v="43"/>
    <x v="0"/>
    <x v="1"/>
    <x v="6"/>
    <x v="2"/>
    <x v="1"/>
    <x v="639"/>
    <x v="1039"/>
    <x v="1"/>
    <s v="Y"/>
    <s v="No"/>
    <x v="4"/>
    <x v="0"/>
    <n v="1"/>
    <x v="0"/>
    <n v="1"/>
    <x v="5"/>
    <n v="3"/>
    <x v="1"/>
    <x v="6"/>
    <x v="2"/>
    <x v="0"/>
    <x v="2"/>
  </r>
  <r>
    <x v="17"/>
    <x v="0"/>
    <s v="Travel_Frequently"/>
    <n v="381"/>
    <x v="1"/>
    <n v="9"/>
    <n v="3"/>
    <s v="Medical"/>
    <n v="1"/>
    <n v="1494"/>
    <x v="0"/>
    <x v="1"/>
    <x v="66"/>
    <x v="0"/>
    <x v="1"/>
    <x v="2"/>
    <x v="3"/>
    <x v="0"/>
    <x v="992"/>
    <x v="1040"/>
    <x v="7"/>
    <s v="Y"/>
    <s v="Yes"/>
    <x v="0"/>
    <x v="0"/>
    <n v="3"/>
    <x v="0"/>
    <n v="0"/>
    <x v="21"/>
    <n v="2"/>
    <x v="2"/>
    <x v="2"/>
    <x v="2"/>
    <x v="0"/>
    <x v="2"/>
  </r>
  <r>
    <x v="17"/>
    <x v="1"/>
    <s v="Non-Travel"/>
    <n v="830"/>
    <x v="0"/>
    <n v="13"/>
    <n v="2"/>
    <s v="Life Sciences"/>
    <n v="1"/>
    <n v="1495"/>
    <x v="2"/>
    <x v="0"/>
    <x v="17"/>
    <x v="0"/>
    <x v="1"/>
    <x v="6"/>
    <x v="1"/>
    <x v="1"/>
    <x v="462"/>
    <x v="1041"/>
    <x v="1"/>
    <s v="Y"/>
    <s v="No"/>
    <x v="4"/>
    <x v="0"/>
    <n v="3"/>
    <x v="0"/>
    <n v="1"/>
    <x v="5"/>
    <n v="2"/>
    <x v="1"/>
    <x v="6"/>
    <x v="2"/>
    <x v="0"/>
    <x v="2"/>
  </r>
  <r>
    <x v="20"/>
    <x v="1"/>
    <s v="Travel_Frequently"/>
    <n v="1193"/>
    <x v="1"/>
    <n v="2"/>
    <n v="1"/>
    <s v="Medical"/>
    <n v="1"/>
    <n v="1496"/>
    <x v="0"/>
    <x v="1"/>
    <x v="27"/>
    <x v="0"/>
    <x v="2"/>
    <x v="3"/>
    <x v="2"/>
    <x v="0"/>
    <x v="993"/>
    <x v="1042"/>
    <x v="6"/>
    <s v="Y"/>
    <s v="Yes"/>
    <x v="11"/>
    <x v="0"/>
    <n v="2"/>
    <x v="0"/>
    <n v="0"/>
    <x v="28"/>
    <n v="2"/>
    <x v="2"/>
    <x v="4"/>
    <x v="3"/>
    <x v="3"/>
    <x v="3"/>
  </r>
  <r>
    <x v="11"/>
    <x v="1"/>
    <s v="Travel_Rarely"/>
    <n v="1246"/>
    <x v="0"/>
    <n v="19"/>
    <n v="3"/>
    <s v="Life Sciences"/>
    <n v="1"/>
    <n v="1497"/>
    <x v="1"/>
    <x v="1"/>
    <x v="57"/>
    <x v="1"/>
    <x v="0"/>
    <x v="0"/>
    <x v="2"/>
    <x v="2"/>
    <x v="994"/>
    <x v="1043"/>
    <x v="1"/>
    <s v="Y"/>
    <s v="No"/>
    <x v="9"/>
    <x v="0"/>
    <n v="3"/>
    <x v="0"/>
    <n v="2"/>
    <x v="1"/>
    <n v="3"/>
    <x v="1"/>
    <x v="1"/>
    <x v="1"/>
    <x v="0"/>
    <x v="10"/>
  </r>
  <r>
    <x v="7"/>
    <x v="1"/>
    <s v="Travel_Rarely"/>
    <n v="330"/>
    <x v="2"/>
    <n v="1"/>
    <n v="3"/>
    <s v="Life Sciences"/>
    <n v="1"/>
    <n v="1499"/>
    <x v="1"/>
    <x v="1"/>
    <x v="55"/>
    <x v="0"/>
    <x v="1"/>
    <x v="8"/>
    <x v="2"/>
    <x v="2"/>
    <x v="995"/>
    <x v="1044"/>
    <x v="4"/>
    <s v="Y"/>
    <s v="No"/>
    <x v="7"/>
    <x v="1"/>
    <n v="1"/>
    <x v="0"/>
    <n v="1"/>
    <x v="3"/>
    <n v="3"/>
    <x v="3"/>
    <x v="8"/>
    <x v="7"/>
    <x v="1"/>
    <x v="6"/>
  </r>
  <r>
    <x v="27"/>
    <x v="1"/>
    <s v="Travel_Rarely"/>
    <n v="1229"/>
    <x v="1"/>
    <n v="4"/>
    <n v="4"/>
    <s v="Life Sciences"/>
    <n v="1"/>
    <n v="1501"/>
    <x v="2"/>
    <x v="1"/>
    <x v="37"/>
    <x v="0"/>
    <x v="0"/>
    <x v="4"/>
    <x v="2"/>
    <x v="1"/>
    <x v="996"/>
    <x v="1045"/>
    <x v="4"/>
    <s v="Y"/>
    <s v="Yes"/>
    <x v="10"/>
    <x v="0"/>
    <n v="2"/>
    <x v="0"/>
    <n v="0"/>
    <x v="21"/>
    <n v="2"/>
    <x v="1"/>
    <x v="11"/>
    <x v="3"/>
    <x v="1"/>
    <x v="3"/>
  </r>
  <r>
    <x v="3"/>
    <x v="1"/>
    <s v="Travel_Rarely"/>
    <n v="1099"/>
    <x v="1"/>
    <n v="4"/>
    <n v="4"/>
    <s v="Medical"/>
    <n v="1"/>
    <n v="1502"/>
    <x v="3"/>
    <x v="0"/>
    <x v="19"/>
    <x v="1"/>
    <x v="1"/>
    <x v="2"/>
    <x v="1"/>
    <x v="1"/>
    <x v="997"/>
    <x v="1046"/>
    <x v="0"/>
    <s v="Y"/>
    <s v="No"/>
    <x v="0"/>
    <x v="0"/>
    <n v="4"/>
    <x v="0"/>
    <n v="0"/>
    <x v="0"/>
    <n v="5"/>
    <x v="1"/>
    <x v="8"/>
    <x v="0"/>
    <x v="0"/>
    <x v="3"/>
  </r>
  <r>
    <x v="40"/>
    <x v="1"/>
    <s v="Travel_Rarely"/>
    <n v="571"/>
    <x v="0"/>
    <n v="14"/>
    <n v="3"/>
    <s v="Medical"/>
    <n v="1"/>
    <n v="1503"/>
    <x v="1"/>
    <x v="0"/>
    <x v="17"/>
    <x v="0"/>
    <x v="0"/>
    <x v="0"/>
    <x v="2"/>
    <x v="1"/>
    <x v="998"/>
    <x v="1047"/>
    <x v="9"/>
    <s v="Y"/>
    <s v="Yes"/>
    <x v="8"/>
    <x v="0"/>
    <n v="3"/>
    <x v="0"/>
    <n v="1"/>
    <x v="27"/>
    <n v="4"/>
    <x v="2"/>
    <x v="8"/>
    <x v="0"/>
    <x v="1"/>
    <x v="3"/>
  </r>
  <r>
    <x v="14"/>
    <x v="0"/>
    <s v="Travel_Frequently"/>
    <n v="289"/>
    <x v="1"/>
    <n v="2"/>
    <n v="2"/>
    <s v="Medical"/>
    <n v="1"/>
    <n v="1504"/>
    <x v="1"/>
    <x v="1"/>
    <x v="70"/>
    <x v="1"/>
    <x v="1"/>
    <x v="2"/>
    <x v="3"/>
    <x v="0"/>
    <x v="999"/>
    <x v="312"/>
    <x v="8"/>
    <s v="Y"/>
    <s v="No"/>
    <x v="0"/>
    <x v="0"/>
    <n v="3"/>
    <x v="0"/>
    <n v="0"/>
    <x v="0"/>
    <n v="2"/>
    <x v="2"/>
    <x v="2"/>
    <x v="2"/>
    <x v="0"/>
    <x v="2"/>
  </r>
  <r>
    <x v="14"/>
    <x v="1"/>
    <s v="Travel_Rarely"/>
    <n v="1423"/>
    <x v="1"/>
    <n v="1"/>
    <n v="3"/>
    <s v="Life Sciences"/>
    <n v="1"/>
    <n v="1506"/>
    <x v="3"/>
    <x v="1"/>
    <x v="23"/>
    <x v="1"/>
    <x v="1"/>
    <x v="1"/>
    <x v="2"/>
    <x v="2"/>
    <x v="1000"/>
    <x v="1048"/>
    <x v="1"/>
    <s v="Y"/>
    <s v="No"/>
    <x v="9"/>
    <x v="0"/>
    <n v="4"/>
    <x v="0"/>
    <n v="1"/>
    <x v="5"/>
    <n v="2"/>
    <x v="0"/>
    <x v="6"/>
    <x v="2"/>
    <x v="0"/>
    <x v="2"/>
  </r>
  <r>
    <x v="14"/>
    <x v="1"/>
    <s v="Travel_Frequently"/>
    <n v="467"/>
    <x v="0"/>
    <n v="7"/>
    <n v="3"/>
    <s v="Life Sciences"/>
    <n v="1"/>
    <n v="1507"/>
    <x v="1"/>
    <x v="1"/>
    <x v="46"/>
    <x v="0"/>
    <x v="0"/>
    <x v="0"/>
    <x v="3"/>
    <x v="0"/>
    <x v="249"/>
    <x v="1049"/>
    <x v="4"/>
    <s v="Y"/>
    <s v="No"/>
    <x v="9"/>
    <x v="0"/>
    <n v="4"/>
    <x v="0"/>
    <n v="0"/>
    <x v="7"/>
    <n v="5"/>
    <x v="1"/>
    <x v="9"/>
    <x v="3"/>
    <x v="1"/>
    <x v="6"/>
  </r>
  <r>
    <x v="1"/>
    <x v="1"/>
    <s v="Travel_Rarely"/>
    <n v="271"/>
    <x v="1"/>
    <n v="3"/>
    <n v="2"/>
    <s v="Medical"/>
    <n v="1"/>
    <n v="1509"/>
    <x v="1"/>
    <x v="0"/>
    <x v="38"/>
    <x v="1"/>
    <x v="0"/>
    <x v="2"/>
    <x v="3"/>
    <x v="1"/>
    <x v="1001"/>
    <x v="1050"/>
    <x v="5"/>
    <s v="Y"/>
    <s v="No"/>
    <x v="14"/>
    <x v="1"/>
    <n v="1"/>
    <x v="0"/>
    <n v="1"/>
    <x v="1"/>
    <n v="3"/>
    <x v="1"/>
    <x v="11"/>
    <x v="3"/>
    <x v="1"/>
    <x v="3"/>
  </r>
  <r>
    <x v="11"/>
    <x v="1"/>
    <s v="Travel_Frequently"/>
    <n v="410"/>
    <x v="1"/>
    <n v="2"/>
    <n v="1"/>
    <s v="Life Sciences"/>
    <n v="1"/>
    <n v="1513"/>
    <x v="2"/>
    <x v="0"/>
    <x v="28"/>
    <x v="0"/>
    <x v="1"/>
    <x v="2"/>
    <x v="1"/>
    <x v="1"/>
    <x v="1002"/>
    <x v="1051"/>
    <x v="4"/>
    <s v="Y"/>
    <s v="No"/>
    <x v="4"/>
    <x v="0"/>
    <n v="3"/>
    <x v="0"/>
    <n v="3"/>
    <x v="21"/>
    <n v="3"/>
    <x v="1"/>
    <x v="11"/>
    <x v="3"/>
    <x v="0"/>
    <x v="3"/>
  </r>
  <r>
    <x v="14"/>
    <x v="1"/>
    <s v="Travel_Rarely"/>
    <n v="1083"/>
    <x v="1"/>
    <n v="29"/>
    <n v="1"/>
    <s v="Life Sciences"/>
    <n v="1"/>
    <n v="1514"/>
    <x v="1"/>
    <x v="1"/>
    <x v="16"/>
    <x v="3"/>
    <x v="0"/>
    <x v="3"/>
    <x v="1"/>
    <x v="1"/>
    <x v="1003"/>
    <x v="1052"/>
    <x v="1"/>
    <s v="Y"/>
    <s v="No"/>
    <x v="9"/>
    <x v="0"/>
    <n v="2"/>
    <x v="0"/>
    <n v="2"/>
    <x v="0"/>
    <n v="2"/>
    <x v="2"/>
    <x v="3"/>
    <x v="8"/>
    <x v="1"/>
    <x v="1"/>
  </r>
  <r>
    <x v="3"/>
    <x v="1"/>
    <s v="Travel_Rarely"/>
    <n v="516"/>
    <x v="1"/>
    <n v="8"/>
    <n v="5"/>
    <s v="Life Sciences"/>
    <n v="1"/>
    <n v="1515"/>
    <x v="2"/>
    <x v="1"/>
    <x v="68"/>
    <x v="0"/>
    <x v="0"/>
    <x v="4"/>
    <x v="2"/>
    <x v="0"/>
    <x v="1004"/>
    <x v="1053"/>
    <x v="7"/>
    <s v="Y"/>
    <s v="Yes"/>
    <x v="8"/>
    <x v="0"/>
    <n v="1"/>
    <x v="0"/>
    <n v="0"/>
    <x v="19"/>
    <n v="6"/>
    <x v="1"/>
    <x v="2"/>
    <x v="2"/>
    <x v="0"/>
    <x v="2"/>
  </r>
  <r>
    <x v="5"/>
    <x v="1"/>
    <s v="Travel_Rarely"/>
    <n v="495"/>
    <x v="1"/>
    <n v="10"/>
    <n v="3"/>
    <s v="Medical"/>
    <n v="1"/>
    <n v="1516"/>
    <x v="1"/>
    <x v="1"/>
    <x v="51"/>
    <x v="0"/>
    <x v="2"/>
    <x v="5"/>
    <x v="0"/>
    <x v="0"/>
    <x v="1005"/>
    <x v="1054"/>
    <x v="7"/>
    <s v="Y"/>
    <s v="No"/>
    <x v="14"/>
    <x v="1"/>
    <n v="2"/>
    <x v="0"/>
    <n v="0"/>
    <x v="1"/>
    <n v="5"/>
    <x v="3"/>
    <x v="8"/>
    <x v="3"/>
    <x v="0"/>
    <x v="2"/>
  </r>
  <r>
    <x v="33"/>
    <x v="1"/>
    <s v="Travel_Frequently"/>
    <n v="1050"/>
    <x v="1"/>
    <n v="11"/>
    <n v="4"/>
    <s v="Medical"/>
    <n v="1"/>
    <n v="1520"/>
    <x v="0"/>
    <x v="0"/>
    <x v="44"/>
    <x v="0"/>
    <x v="3"/>
    <x v="5"/>
    <x v="0"/>
    <x v="2"/>
    <x v="1006"/>
    <x v="1055"/>
    <x v="9"/>
    <s v="Y"/>
    <s v="No"/>
    <x v="5"/>
    <x v="1"/>
    <n v="1"/>
    <x v="0"/>
    <n v="1"/>
    <x v="12"/>
    <n v="2"/>
    <x v="1"/>
    <x v="13"/>
    <x v="5"/>
    <x v="1"/>
    <x v="11"/>
  </r>
  <r>
    <x v="11"/>
    <x v="0"/>
    <s v="Travel_Rarely"/>
    <n v="224"/>
    <x v="1"/>
    <n v="1"/>
    <n v="4"/>
    <s v="Technical Degree"/>
    <n v="1"/>
    <n v="1522"/>
    <x v="3"/>
    <x v="1"/>
    <x v="54"/>
    <x v="1"/>
    <x v="1"/>
    <x v="1"/>
    <x v="3"/>
    <x v="0"/>
    <x v="898"/>
    <x v="1056"/>
    <x v="2"/>
    <s v="Y"/>
    <s v="No"/>
    <x v="4"/>
    <x v="0"/>
    <n v="3"/>
    <x v="0"/>
    <n v="0"/>
    <x v="27"/>
    <n v="2"/>
    <x v="0"/>
    <x v="7"/>
    <x v="1"/>
    <x v="0"/>
    <x v="1"/>
  </r>
  <r>
    <x v="20"/>
    <x v="1"/>
    <s v="Travel_Rarely"/>
    <n v="136"/>
    <x v="1"/>
    <n v="28"/>
    <n v="3"/>
    <s v="Life Sciences"/>
    <n v="1"/>
    <n v="1523"/>
    <x v="2"/>
    <x v="1"/>
    <x v="47"/>
    <x v="0"/>
    <x v="3"/>
    <x v="7"/>
    <x v="3"/>
    <x v="1"/>
    <x v="1007"/>
    <x v="936"/>
    <x v="9"/>
    <s v="Y"/>
    <s v="No"/>
    <x v="4"/>
    <x v="0"/>
    <n v="3"/>
    <x v="0"/>
    <n v="1"/>
    <x v="13"/>
    <n v="1"/>
    <x v="3"/>
    <x v="23"/>
    <x v="8"/>
    <x v="15"/>
    <x v="8"/>
  </r>
  <r>
    <x v="22"/>
    <x v="1"/>
    <s v="Travel_Rarely"/>
    <n v="1089"/>
    <x v="1"/>
    <n v="6"/>
    <n v="3"/>
    <s v="Life Sciences"/>
    <n v="1"/>
    <n v="1525"/>
    <x v="0"/>
    <x v="0"/>
    <x v="47"/>
    <x v="0"/>
    <x v="2"/>
    <x v="3"/>
    <x v="1"/>
    <x v="0"/>
    <x v="1008"/>
    <x v="355"/>
    <x v="5"/>
    <s v="Y"/>
    <s v="No"/>
    <x v="11"/>
    <x v="0"/>
    <n v="4"/>
    <x v="0"/>
    <n v="0"/>
    <x v="15"/>
    <n v="3"/>
    <x v="1"/>
    <x v="4"/>
    <x v="2"/>
    <x v="3"/>
    <x v="3"/>
  </r>
  <r>
    <x v="21"/>
    <x v="1"/>
    <s v="Travel_Rarely"/>
    <n v="228"/>
    <x v="0"/>
    <n v="3"/>
    <n v="3"/>
    <s v="Life Sciences"/>
    <n v="1"/>
    <n v="1527"/>
    <x v="1"/>
    <x v="0"/>
    <x v="14"/>
    <x v="0"/>
    <x v="3"/>
    <x v="5"/>
    <x v="1"/>
    <x v="1"/>
    <x v="1009"/>
    <x v="1057"/>
    <x v="0"/>
    <s v="Y"/>
    <s v="No"/>
    <x v="3"/>
    <x v="0"/>
    <n v="4"/>
    <x v="0"/>
    <n v="1"/>
    <x v="18"/>
    <n v="2"/>
    <x v="3"/>
    <x v="20"/>
    <x v="16"/>
    <x v="8"/>
    <x v="9"/>
  </r>
  <r>
    <x v="10"/>
    <x v="1"/>
    <s v="Travel_Rarely"/>
    <n v="1029"/>
    <x v="1"/>
    <n v="16"/>
    <n v="3"/>
    <s v="Life Sciences"/>
    <n v="1"/>
    <n v="1529"/>
    <x v="2"/>
    <x v="0"/>
    <x v="59"/>
    <x v="1"/>
    <x v="2"/>
    <x v="4"/>
    <x v="1"/>
    <x v="0"/>
    <x v="1010"/>
    <x v="1058"/>
    <x v="1"/>
    <s v="Y"/>
    <s v="No"/>
    <x v="12"/>
    <x v="0"/>
    <n v="4"/>
    <x v="0"/>
    <n v="0"/>
    <x v="27"/>
    <n v="3"/>
    <x v="0"/>
    <x v="19"/>
    <x v="6"/>
    <x v="2"/>
    <x v="6"/>
  </r>
  <r>
    <x v="30"/>
    <x v="1"/>
    <s v="Travel_Rarely"/>
    <n v="507"/>
    <x v="1"/>
    <n v="20"/>
    <n v="1"/>
    <s v="Life Sciences"/>
    <n v="1"/>
    <n v="1533"/>
    <x v="3"/>
    <x v="1"/>
    <x v="28"/>
    <x v="0"/>
    <x v="0"/>
    <x v="2"/>
    <x v="2"/>
    <x v="0"/>
    <x v="1011"/>
    <x v="1059"/>
    <x v="4"/>
    <s v="Y"/>
    <s v="No"/>
    <x v="9"/>
    <x v="0"/>
    <n v="2"/>
    <x v="0"/>
    <n v="0"/>
    <x v="7"/>
    <n v="2"/>
    <x v="1"/>
    <x v="9"/>
    <x v="7"/>
    <x v="1"/>
    <x v="3"/>
  </r>
  <r>
    <x v="32"/>
    <x v="0"/>
    <s v="Travel_Rarely"/>
    <n v="676"/>
    <x v="1"/>
    <n v="9"/>
    <n v="4"/>
    <s v="Life Sciences"/>
    <n v="1"/>
    <n v="1534"/>
    <x v="2"/>
    <x v="1"/>
    <x v="27"/>
    <x v="0"/>
    <x v="1"/>
    <x v="2"/>
    <x v="3"/>
    <x v="0"/>
    <x v="1012"/>
    <x v="1060"/>
    <x v="9"/>
    <s v="Y"/>
    <s v="No"/>
    <x v="9"/>
    <x v="0"/>
    <n v="2"/>
    <x v="0"/>
    <n v="0"/>
    <x v="20"/>
    <n v="3"/>
    <x v="0"/>
    <x v="8"/>
    <x v="0"/>
    <x v="1"/>
    <x v="2"/>
  </r>
  <r>
    <x v="13"/>
    <x v="1"/>
    <s v="Travel_Rarely"/>
    <n v="971"/>
    <x v="0"/>
    <n v="1"/>
    <n v="3"/>
    <s v="Technical Degree"/>
    <n v="1"/>
    <n v="1535"/>
    <x v="2"/>
    <x v="1"/>
    <x v="51"/>
    <x v="1"/>
    <x v="2"/>
    <x v="0"/>
    <x v="2"/>
    <x v="1"/>
    <x v="1013"/>
    <x v="1061"/>
    <x v="1"/>
    <s v="Y"/>
    <s v="Yes"/>
    <x v="9"/>
    <x v="0"/>
    <n v="4"/>
    <x v="0"/>
    <n v="0"/>
    <x v="1"/>
    <n v="3"/>
    <x v="1"/>
    <x v="1"/>
    <x v="5"/>
    <x v="6"/>
    <x v="4"/>
  </r>
  <r>
    <x v="12"/>
    <x v="0"/>
    <s v="Travel_Frequently"/>
    <n v="561"/>
    <x v="1"/>
    <n v="3"/>
    <n v="3"/>
    <s v="Life Sciences"/>
    <n v="1"/>
    <n v="1537"/>
    <x v="2"/>
    <x v="0"/>
    <x v="30"/>
    <x v="0"/>
    <x v="1"/>
    <x v="1"/>
    <x v="2"/>
    <x v="0"/>
    <x v="1014"/>
    <x v="391"/>
    <x v="1"/>
    <s v="Y"/>
    <s v="No"/>
    <x v="3"/>
    <x v="0"/>
    <n v="1"/>
    <x v="0"/>
    <n v="0"/>
    <x v="2"/>
    <n v="2"/>
    <x v="0"/>
    <x v="5"/>
    <x v="3"/>
    <x v="4"/>
    <x v="1"/>
  </r>
  <r>
    <x v="24"/>
    <x v="1"/>
    <s v="Travel_Frequently"/>
    <n v="333"/>
    <x v="1"/>
    <n v="22"/>
    <n v="5"/>
    <s v="Medical"/>
    <n v="1"/>
    <n v="1539"/>
    <x v="1"/>
    <x v="1"/>
    <x v="64"/>
    <x v="3"/>
    <x v="3"/>
    <x v="7"/>
    <x v="0"/>
    <x v="0"/>
    <x v="1015"/>
    <x v="1062"/>
    <x v="1"/>
    <s v="Y"/>
    <s v="Yes"/>
    <x v="4"/>
    <x v="0"/>
    <n v="4"/>
    <x v="0"/>
    <n v="0"/>
    <x v="36"/>
    <n v="2"/>
    <x v="1"/>
    <x v="32"/>
    <x v="8"/>
    <x v="11"/>
    <x v="12"/>
  </r>
  <r>
    <x v="13"/>
    <x v="1"/>
    <s v="Travel_Rarely"/>
    <n v="1440"/>
    <x v="0"/>
    <n v="7"/>
    <n v="2"/>
    <s v="Technical Degree"/>
    <n v="1"/>
    <n v="1541"/>
    <x v="0"/>
    <x v="1"/>
    <x v="46"/>
    <x v="0"/>
    <x v="1"/>
    <x v="6"/>
    <x v="2"/>
    <x v="1"/>
    <x v="1016"/>
    <x v="1063"/>
    <x v="4"/>
    <s v="Y"/>
    <s v="Yes"/>
    <x v="14"/>
    <x v="1"/>
    <n v="2"/>
    <x v="0"/>
    <n v="1"/>
    <x v="4"/>
    <n v="4"/>
    <x v="1"/>
    <x v="19"/>
    <x v="15"/>
    <x v="8"/>
    <x v="1"/>
  </r>
  <r>
    <x v="19"/>
    <x v="1"/>
    <s v="Travel_Rarely"/>
    <n v="1210"/>
    <x v="1"/>
    <n v="2"/>
    <n v="3"/>
    <s v="Medical"/>
    <n v="1"/>
    <n v="1542"/>
    <x v="1"/>
    <x v="1"/>
    <x v="67"/>
    <x v="1"/>
    <x v="1"/>
    <x v="2"/>
    <x v="1"/>
    <x v="1"/>
    <x v="1017"/>
    <x v="1064"/>
    <x v="5"/>
    <s v="Y"/>
    <s v="No"/>
    <x v="9"/>
    <x v="0"/>
    <n v="2"/>
    <x v="0"/>
    <n v="1"/>
    <x v="21"/>
    <n v="3"/>
    <x v="1"/>
    <x v="6"/>
    <x v="2"/>
    <x v="0"/>
    <x v="2"/>
  </r>
  <r>
    <x v="2"/>
    <x v="1"/>
    <s v="Travel_Rarely"/>
    <n v="674"/>
    <x v="1"/>
    <n v="13"/>
    <n v="3"/>
    <s v="Medical"/>
    <n v="1"/>
    <n v="1543"/>
    <x v="3"/>
    <x v="1"/>
    <x v="35"/>
    <x v="0"/>
    <x v="0"/>
    <x v="1"/>
    <x v="0"/>
    <x v="1"/>
    <x v="1018"/>
    <x v="1065"/>
    <x v="1"/>
    <s v="Y"/>
    <s v="No"/>
    <x v="8"/>
    <x v="0"/>
    <n v="1"/>
    <x v="0"/>
    <n v="0"/>
    <x v="1"/>
    <n v="2"/>
    <x v="1"/>
    <x v="1"/>
    <x v="6"/>
    <x v="2"/>
    <x v="1"/>
  </r>
  <r>
    <x v="11"/>
    <x v="1"/>
    <s v="Travel_Rarely"/>
    <n v="441"/>
    <x v="1"/>
    <n v="8"/>
    <n v="1"/>
    <s v="Other"/>
    <n v="1"/>
    <n v="1544"/>
    <x v="1"/>
    <x v="0"/>
    <x v="56"/>
    <x v="3"/>
    <x v="0"/>
    <x v="4"/>
    <x v="3"/>
    <x v="1"/>
    <x v="1019"/>
    <x v="1066"/>
    <x v="9"/>
    <s v="Y"/>
    <s v="No"/>
    <x v="4"/>
    <x v="0"/>
    <n v="3"/>
    <x v="0"/>
    <n v="1"/>
    <x v="15"/>
    <n v="3"/>
    <x v="1"/>
    <x v="5"/>
    <x v="1"/>
    <x v="0"/>
    <x v="1"/>
  </r>
  <r>
    <x v="3"/>
    <x v="1"/>
    <s v="Travel_Rarely"/>
    <n v="575"/>
    <x v="1"/>
    <n v="25"/>
    <n v="3"/>
    <s v="Life Sciences"/>
    <n v="1"/>
    <n v="1545"/>
    <x v="2"/>
    <x v="1"/>
    <x v="8"/>
    <x v="1"/>
    <x v="0"/>
    <x v="3"/>
    <x v="1"/>
    <x v="0"/>
    <x v="1020"/>
    <x v="1067"/>
    <x v="1"/>
    <s v="Y"/>
    <s v="No"/>
    <x v="4"/>
    <x v="0"/>
    <n v="4"/>
    <x v="0"/>
    <n v="0"/>
    <x v="7"/>
    <n v="2"/>
    <x v="1"/>
    <x v="8"/>
    <x v="7"/>
    <x v="0"/>
    <x v="3"/>
  </r>
  <r>
    <x v="28"/>
    <x v="1"/>
    <s v="Travel_Rarely"/>
    <n v="950"/>
    <x v="1"/>
    <n v="28"/>
    <n v="3"/>
    <s v="Technical Degree"/>
    <n v="1"/>
    <n v="1546"/>
    <x v="2"/>
    <x v="1"/>
    <x v="28"/>
    <x v="0"/>
    <x v="1"/>
    <x v="1"/>
    <x v="0"/>
    <x v="1"/>
    <x v="685"/>
    <x v="1068"/>
    <x v="5"/>
    <s v="Y"/>
    <s v="No"/>
    <x v="5"/>
    <x v="1"/>
    <n v="4"/>
    <x v="0"/>
    <n v="1"/>
    <x v="0"/>
    <n v="3"/>
    <x v="1"/>
    <x v="8"/>
    <x v="0"/>
    <x v="0"/>
    <x v="6"/>
  </r>
  <r>
    <x v="19"/>
    <x v="1"/>
    <s v="Travel_Frequently"/>
    <n v="288"/>
    <x v="1"/>
    <n v="2"/>
    <n v="3"/>
    <s v="Life Sciences"/>
    <n v="1"/>
    <n v="1547"/>
    <x v="2"/>
    <x v="1"/>
    <x v="4"/>
    <x v="0"/>
    <x v="2"/>
    <x v="4"/>
    <x v="0"/>
    <x v="1"/>
    <x v="1021"/>
    <x v="1069"/>
    <x v="7"/>
    <s v="Y"/>
    <s v="Yes"/>
    <x v="9"/>
    <x v="0"/>
    <n v="3"/>
    <x v="0"/>
    <n v="1"/>
    <x v="13"/>
    <n v="3"/>
    <x v="0"/>
    <x v="23"/>
    <x v="6"/>
    <x v="11"/>
    <x v="12"/>
  </r>
  <r>
    <x v="32"/>
    <x v="1"/>
    <s v="Travel_Rarely"/>
    <n v="1342"/>
    <x v="0"/>
    <n v="9"/>
    <n v="2"/>
    <s v="Medical"/>
    <n v="1"/>
    <n v="1548"/>
    <x v="3"/>
    <x v="1"/>
    <x v="35"/>
    <x v="0"/>
    <x v="0"/>
    <x v="0"/>
    <x v="3"/>
    <x v="1"/>
    <x v="67"/>
    <x v="1070"/>
    <x v="4"/>
    <s v="Y"/>
    <s v="No"/>
    <x v="3"/>
    <x v="0"/>
    <n v="4"/>
    <x v="0"/>
    <n v="0"/>
    <x v="15"/>
    <n v="5"/>
    <x v="3"/>
    <x v="3"/>
    <x v="0"/>
    <x v="4"/>
    <x v="9"/>
  </r>
  <r>
    <x v="3"/>
    <x v="1"/>
    <s v="Travel_Rarely"/>
    <n v="589"/>
    <x v="1"/>
    <n v="28"/>
    <n v="4"/>
    <s v="Life Sciences"/>
    <n v="1"/>
    <n v="1549"/>
    <x v="0"/>
    <x v="1"/>
    <x v="5"/>
    <x v="0"/>
    <x v="0"/>
    <x v="2"/>
    <x v="2"/>
    <x v="1"/>
    <x v="1022"/>
    <x v="1071"/>
    <x v="1"/>
    <s v="Y"/>
    <s v="Yes"/>
    <x v="3"/>
    <x v="0"/>
    <n v="2"/>
    <x v="0"/>
    <n v="1"/>
    <x v="20"/>
    <n v="3"/>
    <x v="1"/>
    <x v="15"/>
    <x v="12"/>
    <x v="8"/>
    <x v="1"/>
  </r>
  <r>
    <x v="32"/>
    <x v="1"/>
    <s v="Travel_Rarely"/>
    <n v="898"/>
    <x v="2"/>
    <n v="6"/>
    <n v="2"/>
    <s v="Medical"/>
    <n v="1"/>
    <n v="1550"/>
    <x v="1"/>
    <x v="1"/>
    <x v="70"/>
    <x v="0"/>
    <x v="3"/>
    <x v="5"/>
    <x v="0"/>
    <x v="0"/>
    <x v="1023"/>
    <x v="1072"/>
    <x v="1"/>
    <s v="Y"/>
    <s v="Yes"/>
    <x v="7"/>
    <x v="1"/>
    <n v="4"/>
    <x v="0"/>
    <n v="0"/>
    <x v="24"/>
    <n v="2"/>
    <x v="1"/>
    <x v="17"/>
    <x v="1"/>
    <x v="4"/>
    <x v="1"/>
  </r>
  <r>
    <x v="17"/>
    <x v="1"/>
    <s v="Travel_Rarely"/>
    <n v="350"/>
    <x v="1"/>
    <n v="21"/>
    <n v="2"/>
    <s v="Technical Degree"/>
    <n v="1"/>
    <n v="1551"/>
    <x v="1"/>
    <x v="1"/>
    <x v="42"/>
    <x v="1"/>
    <x v="1"/>
    <x v="2"/>
    <x v="3"/>
    <x v="2"/>
    <x v="1024"/>
    <x v="1073"/>
    <x v="4"/>
    <s v="Y"/>
    <s v="No"/>
    <x v="9"/>
    <x v="0"/>
    <n v="2"/>
    <x v="0"/>
    <n v="3"/>
    <x v="17"/>
    <n v="3"/>
    <x v="1"/>
    <x v="6"/>
    <x v="10"/>
    <x v="0"/>
    <x v="2"/>
  </r>
  <r>
    <x v="32"/>
    <x v="1"/>
    <s v="Non-Travel"/>
    <n v="1142"/>
    <x v="1"/>
    <n v="8"/>
    <n v="2"/>
    <s v="Life Sciences"/>
    <n v="1"/>
    <n v="1552"/>
    <x v="2"/>
    <x v="1"/>
    <x v="23"/>
    <x v="0"/>
    <x v="0"/>
    <x v="4"/>
    <x v="0"/>
    <x v="2"/>
    <x v="1025"/>
    <x v="1074"/>
    <x v="9"/>
    <s v="Y"/>
    <s v="Yes"/>
    <x v="11"/>
    <x v="0"/>
    <n v="3"/>
    <x v="0"/>
    <n v="0"/>
    <x v="0"/>
    <n v="2"/>
    <x v="1"/>
    <x v="4"/>
    <x v="3"/>
    <x v="3"/>
    <x v="3"/>
  </r>
  <r>
    <x v="28"/>
    <x v="1"/>
    <s v="Travel_Rarely"/>
    <n v="538"/>
    <x v="1"/>
    <n v="1"/>
    <n v="4"/>
    <s v="Technical Degree"/>
    <n v="1"/>
    <n v="1553"/>
    <x v="3"/>
    <x v="1"/>
    <x v="45"/>
    <x v="0"/>
    <x v="2"/>
    <x v="4"/>
    <x v="1"/>
    <x v="2"/>
    <x v="1026"/>
    <x v="1075"/>
    <x v="1"/>
    <s v="Y"/>
    <s v="No"/>
    <x v="3"/>
    <x v="0"/>
    <n v="1"/>
    <x v="0"/>
    <n v="3"/>
    <x v="1"/>
    <n v="4"/>
    <x v="1"/>
    <x v="1"/>
    <x v="6"/>
    <x v="4"/>
    <x v="1"/>
  </r>
  <r>
    <x v="10"/>
    <x v="1"/>
    <s v="Travel_Rarely"/>
    <n v="1402"/>
    <x v="0"/>
    <n v="28"/>
    <n v="4"/>
    <s v="Life Sciences"/>
    <n v="1"/>
    <n v="1554"/>
    <x v="0"/>
    <x v="0"/>
    <x v="33"/>
    <x v="1"/>
    <x v="1"/>
    <x v="6"/>
    <x v="2"/>
    <x v="1"/>
    <x v="1027"/>
    <x v="1076"/>
    <x v="4"/>
    <s v="Y"/>
    <s v="No"/>
    <x v="1"/>
    <x v="1"/>
    <n v="1"/>
    <x v="0"/>
    <n v="2"/>
    <x v="3"/>
    <n v="5"/>
    <x v="1"/>
    <x v="8"/>
    <x v="7"/>
    <x v="5"/>
    <x v="3"/>
  </r>
  <r>
    <x v="5"/>
    <x v="1"/>
    <s v="Travel_Rarely"/>
    <n v="824"/>
    <x v="1"/>
    <n v="5"/>
    <n v="2"/>
    <s v="Life Sciences"/>
    <n v="1"/>
    <n v="1555"/>
    <x v="2"/>
    <x v="0"/>
    <x v="7"/>
    <x v="1"/>
    <x v="0"/>
    <x v="1"/>
    <x v="1"/>
    <x v="1"/>
    <x v="1028"/>
    <x v="1077"/>
    <x v="9"/>
    <s v="Y"/>
    <s v="No"/>
    <x v="3"/>
    <x v="0"/>
    <n v="1"/>
    <x v="0"/>
    <n v="1"/>
    <x v="4"/>
    <n v="2"/>
    <x v="1"/>
    <x v="5"/>
    <x v="10"/>
    <x v="3"/>
    <x v="0"/>
  </r>
  <r>
    <x v="9"/>
    <x v="1"/>
    <s v="Travel_Rarely"/>
    <n v="1157"/>
    <x v="0"/>
    <n v="2"/>
    <n v="4"/>
    <s v="Life Sciences"/>
    <n v="1"/>
    <n v="1556"/>
    <x v="1"/>
    <x v="1"/>
    <x v="49"/>
    <x v="0"/>
    <x v="1"/>
    <x v="6"/>
    <x v="0"/>
    <x v="0"/>
    <x v="1029"/>
    <x v="351"/>
    <x v="9"/>
    <s v="Y"/>
    <s v="Yes"/>
    <x v="7"/>
    <x v="1"/>
    <n v="4"/>
    <x v="0"/>
    <n v="0"/>
    <x v="2"/>
    <n v="3"/>
    <x v="2"/>
    <x v="11"/>
    <x v="3"/>
    <x v="1"/>
    <x v="3"/>
  </r>
  <r>
    <x v="26"/>
    <x v="1"/>
    <s v="Travel_Rarely"/>
    <n v="492"/>
    <x v="0"/>
    <n v="16"/>
    <n v="4"/>
    <s v="Life Sciences"/>
    <n v="1"/>
    <n v="1557"/>
    <x v="1"/>
    <x v="0"/>
    <x v="16"/>
    <x v="0"/>
    <x v="0"/>
    <x v="0"/>
    <x v="2"/>
    <x v="2"/>
    <x v="1030"/>
    <x v="1078"/>
    <x v="0"/>
    <s v="Y"/>
    <s v="No"/>
    <x v="9"/>
    <x v="0"/>
    <n v="3"/>
    <x v="0"/>
    <n v="1"/>
    <x v="33"/>
    <n v="2"/>
    <x v="1"/>
    <x v="3"/>
    <x v="1"/>
    <x v="4"/>
    <x v="1"/>
  </r>
  <r>
    <x v="11"/>
    <x v="1"/>
    <s v="Travel_Rarely"/>
    <n v="598"/>
    <x v="1"/>
    <n v="9"/>
    <n v="3"/>
    <s v="Life Sciences"/>
    <n v="1"/>
    <n v="1558"/>
    <x v="1"/>
    <x v="1"/>
    <x v="59"/>
    <x v="2"/>
    <x v="1"/>
    <x v="1"/>
    <x v="2"/>
    <x v="1"/>
    <x v="163"/>
    <x v="1079"/>
    <x v="2"/>
    <s v="Y"/>
    <s v="No"/>
    <x v="11"/>
    <x v="0"/>
    <n v="1"/>
    <x v="0"/>
    <n v="2"/>
    <x v="7"/>
    <n v="2"/>
    <x v="2"/>
    <x v="6"/>
    <x v="2"/>
    <x v="0"/>
    <x v="2"/>
  </r>
  <r>
    <x v="3"/>
    <x v="1"/>
    <s v="Travel_Rarely"/>
    <n v="1242"/>
    <x v="0"/>
    <n v="8"/>
    <n v="4"/>
    <s v="Life Sciences"/>
    <n v="1"/>
    <n v="1560"/>
    <x v="3"/>
    <x v="1"/>
    <x v="55"/>
    <x v="0"/>
    <x v="0"/>
    <x v="0"/>
    <x v="3"/>
    <x v="1"/>
    <x v="1031"/>
    <x v="1080"/>
    <x v="7"/>
    <s v="Y"/>
    <s v="No"/>
    <x v="4"/>
    <x v="0"/>
    <n v="4"/>
    <x v="0"/>
    <n v="1"/>
    <x v="0"/>
    <n v="6"/>
    <x v="0"/>
    <x v="4"/>
    <x v="3"/>
    <x v="3"/>
    <x v="3"/>
  </r>
  <r>
    <x v="7"/>
    <x v="0"/>
    <s v="Travel_Rarely"/>
    <n v="740"/>
    <x v="0"/>
    <n v="1"/>
    <n v="3"/>
    <s v="Life Sciences"/>
    <n v="1"/>
    <n v="1562"/>
    <x v="0"/>
    <x v="1"/>
    <x v="51"/>
    <x v="1"/>
    <x v="0"/>
    <x v="0"/>
    <x v="3"/>
    <x v="1"/>
    <x v="1032"/>
    <x v="1081"/>
    <x v="1"/>
    <s v="Y"/>
    <s v="No"/>
    <x v="0"/>
    <x v="0"/>
    <n v="4"/>
    <x v="0"/>
    <n v="1"/>
    <x v="1"/>
    <n v="4"/>
    <x v="1"/>
    <x v="1"/>
    <x v="6"/>
    <x v="7"/>
    <x v="1"/>
  </r>
  <r>
    <x v="8"/>
    <x v="1"/>
    <s v="Travel_Frequently"/>
    <n v="888"/>
    <x v="2"/>
    <n v="10"/>
    <n v="4"/>
    <s v="Human Resources"/>
    <n v="1"/>
    <n v="1563"/>
    <x v="1"/>
    <x v="1"/>
    <x v="36"/>
    <x v="0"/>
    <x v="0"/>
    <x v="8"/>
    <x v="2"/>
    <x v="1"/>
    <x v="1033"/>
    <x v="1082"/>
    <x v="9"/>
    <s v="Y"/>
    <s v="No"/>
    <x v="0"/>
    <x v="0"/>
    <n v="3"/>
    <x v="0"/>
    <n v="0"/>
    <x v="1"/>
    <n v="2"/>
    <x v="1"/>
    <x v="0"/>
    <x v="7"/>
    <x v="1"/>
    <x v="3"/>
  </r>
  <r>
    <x v="10"/>
    <x v="1"/>
    <s v="Travel_Rarely"/>
    <n v="992"/>
    <x v="1"/>
    <n v="1"/>
    <n v="3"/>
    <s v="Medical"/>
    <n v="1"/>
    <n v="1564"/>
    <x v="2"/>
    <x v="1"/>
    <x v="67"/>
    <x v="1"/>
    <x v="1"/>
    <x v="2"/>
    <x v="3"/>
    <x v="0"/>
    <x v="533"/>
    <x v="1083"/>
    <x v="1"/>
    <s v="Y"/>
    <s v="No"/>
    <x v="12"/>
    <x v="0"/>
    <n v="2"/>
    <x v="0"/>
    <n v="0"/>
    <x v="8"/>
    <n v="3"/>
    <x v="1"/>
    <x v="11"/>
    <x v="2"/>
    <x v="1"/>
    <x v="3"/>
  </r>
  <r>
    <x v="7"/>
    <x v="1"/>
    <s v="Travel_Rarely"/>
    <n v="1288"/>
    <x v="0"/>
    <n v="29"/>
    <n v="4"/>
    <s v="Technical Degree"/>
    <n v="1"/>
    <n v="1568"/>
    <x v="1"/>
    <x v="1"/>
    <x v="30"/>
    <x v="0"/>
    <x v="2"/>
    <x v="0"/>
    <x v="1"/>
    <x v="1"/>
    <x v="1034"/>
    <x v="1084"/>
    <x v="9"/>
    <s v="Y"/>
    <s v="No"/>
    <x v="3"/>
    <x v="0"/>
    <n v="2"/>
    <x v="0"/>
    <n v="1"/>
    <x v="15"/>
    <n v="3"/>
    <x v="1"/>
    <x v="9"/>
    <x v="3"/>
    <x v="1"/>
    <x v="6"/>
  </r>
  <r>
    <x v="10"/>
    <x v="0"/>
    <s v="Travel_Rarely"/>
    <n v="104"/>
    <x v="1"/>
    <n v="2"/>
    <n v="3"/>
    <s v="Life Sciences"/>
    <n v="1"/>
    <n v="1569"/>
    <x v="3"/>
    <x v="0"/>
    <x v="68"/>
    <x v="0"/>
    <x v="1"/>
    <x v="2"/>
    <x v="3"/>
    <x v="2"/>
    <x v="1035"/>
    <x v="1085"/>
    <x v="1"/>
    <s v="Y"/>
    <s v="Yes"/>
    <x v="3"/>
    <x v="0"/>
    <n v="4"/>
    <x v="0"/>
    <n v="1"/>
    <x v="5"/>
    <n v="2"/>
    <x v="1"/>
    <x v="6"/>
    <x v="2"/>
    <x v="0"/>
    <x v="2"/>
  </r>
  <r>
    <x v="16"/>
    <x v="0"/>
    <s v="Travel_Rarely"/>
    <n v="607"/>
    <x v="1"/>
    <n v="2"/>
    <n v="5"/>
    <s v="Technical Degree"/>
    <n v="1"/>
    <n v="1572"/>
    <x v="1"/>
    <x v="0"/>
    <x v="17"/>
    <x v="1"/>
    <x v="2"/>
    <x v="3"/>
    <x v="0"/>
    <x v="1"/>
    <x v="1036"/>
    <x v="1086"/>
    <x v="4"/>
    <s v="Y"/>
    <s v="No"/>
    <x v="10"/>
    <x v="0"/>
    <n v="2"/>
    <x v="0"/>
    <n v="1"/>
    <x v="35"/>
    <n v="4"/>
    <x v="1"/>
    <x v="26"/>
    <x v="1"/>
    <x v="1"/>
    <x v="12"/>
  </r>
  <r>
    <x v="8"/>
    <x v="0"/>
    <s v="Travel_Rarely"/>
    <n v="903"/>
    <x v="1"/>
    <n v="2"/>
    <n v="3"/>
    <s v="Medical"/>
    <n v="1"/>
    <n v="1573"/>
    <x v="1"/>
    <x v="1"/>
    <x v="6"/>
    <x v="0"/>
    <x v="0"/>
    <x v="3"/>
    <x v="1"/>
    <x v="1"/>
    <x v="1037"/>
    <x v="1087"/>
    <x v="5"/>
    <s v="Y"/>
    <s v="No"/>
    <x v="0"/>
    <x v="0"/>
    <n v="1"/>
    <x v="0"/>
    <n v="2"/>
    <x v="2"/>
    <n v="2"/>
    <x v="1"/>
    <x v="8"/>
    <x v="3"/>
    <x v="1"/>
    <x v="10"/>
  </r>
  <r>
    <x v="5"/>
    <x v="1"/>
    <s v="Non-Travel"/>
    <n v="1200"/>
    <x v="1"/>
    <n v="1"/>
    <n v="4"/>
    <s v="Technical Degree"/>
    <n v="1"/>
    <n v="1574"/>
    <x v="2"/>
    <x v="1"/>
    <x v="50"/>
    <x v="0"/>
    <x v="0"/>
    <x v="1"/>
    <x v="3"/>
    <x v="1"/>
    <x v="1038"/>
    <x v="1088"/>
    <x v="5"/>
    <s v="Y"/>
    <s v="No"/>
    <x v="9"/>
    <x v="0"/>
    <n v="2"/>
    <x v="0"/>
    <n v="1"/>
    <x v="15"/>
    <n v="3"/>
    <x v="2"/>
    <x v="0"/>
    <x v="4"/>
    <x v="1"/>
    <x v="3"/>
  </r>
  <r>
    <x v="26"/>
    <x v="1"/>
    <s v="Travel_Rarely"/>
    <n v="1108"/>
    <x v="1"/>
    <n v="15"/>
    <n v="4"/>
    <s v="Other"/>
    <n v="1"/>
    <n v="1576"/>
    <x v="1"/>
    <x v="0"/>
    <x v="63"/>
    <x v="0"/>
    <x v="1"/>
    <x v="1"/>
    <x v="3"/>
    <x v="1"/>
    <x v="1039"/>
    <x v="1089"/>
    <x v="0"/>
    <s v="Y"/>
    <s v="No"/>
    <x v="3"/>
    <x v="0"/>
    <n v="4"/>
    <x v="0"/>
    <n v="1"/>
    <x v="1"/>
    <n v="3"/>
    <x v="2"/>
    <x v="3"/>
    <x v="3"/>
    <x v="4"/>
    <x v="4"/>
  </r>
  <r>
    <x v="13"/>
    <x v="1"/>
    <s v="Travel_Rarely"/>
    <n v="479"/>
    <x v="1"/>
    <n v="7"/>
    <n v="4"/>
    <s v="Medical"/>
    <n v="1"/>
    <n v="1577"/>
    <x v="3"/>
    <x v="1"/>
    <x v="58"/>
    <x v="0"/>
    <x v="1"/>
    <x v="1"/>
    <x v="0"/>
    <x v="0"/>
    <x v="1040"/>
    <x v="1090"/>
    <x v="1"/>
    <s v="Y"/>
    <s v="No"/>
    <x v="4"/>
    <x v="0"/>
    <n v="3"/>
    <x v="0"/>
    <n v="0"/>
    <x v="5"/>
    <n v="4"/>
    <x v="0"/>
    <x v="6"/>
    <x v="2"/>
    <x v="0"/>
    <x v="2"/>
  </r>
  <r>
    <x v="27"/>
    <x v="1"/>
    <s v="Travel_Rarely"/>
    <n v="685"/>
    <x v="0"/>
    <n v="26"/>
    <n v="5"/>
    <s v="Marketing"/>
    <n v="1"/>
    <n v="1578"/>
    <x v="1"/>
    <x v="1"/>
    <x v="53"/>
    <x v="1"/>
    <x v="4"/>
    <x v="5"/>
    <x v="0"/>
    <x v="1"/>
    <x v="1041"/>
    <x v="1091"/>
    <x v="1"/>
    <s v="Y"/>
    <s v="No"/>
    <x v="7"/>
    <x v="1"/>
    <n v="3"/>
    <x v="0"/>
    <n v="1"/>
    <x v="34"/>
    <n v="3"/>
    <x v="1"/>
    <x v="28"/>
    <x v="8"/>
    <x v="3"/>
    <x v="15"/>
  </r>
  <r>
    <x v="13"/>
    <x v="1"/>
    <s v="Travel_Rarely"/>
    <n v="1351"/>
    <x v="1"/>
    <n v="1"/>
    <n v="4"/>
    <s v="Life Sciences"/>
    <n v="1"/>
    <n v="1580"/>
    <x v="0"/>
    <x v="1"/>
    <x v="18"/>
    <x v="0"/>
    <x v="0"/>
    <x v="1"/>
    <x v="0"/>
    <x v="1"/>
    <x v="299"/>
    <x v="684"/>
    <x v="3"/>
    <s v="Y"/>
    <s v="No"/>
    <x v="8"/>
    <x v="0"/>
    <n v="2"/>
    <x v="0"/>
    <n v="1"/>
    <x v="15"/>
    <n v="3"/>
    <x v="2"/>
    <x v="4"/>
    <x v="3"/>
    <x v="3"/>
    <x v="9"/>
  </r>
  <r>
    <x v="25"/>
    <x v="1"/>
    <s v="Travel_Rarely"/>
    <n v="474"/>
    <x v="1"/>
    <n v="3"/>
    <n v="3"/>
    <s v="Life Sciences"/>
    <n v="1"/>
    <n v="1581"/>
    <x v="3"/>
    <x v="0"/>
    <x v="66"/>
    <x v="0"/>
    <x v="1"/>
    <x v="1"/>
    <x v="0"/>
    <x v="1"/>
    <x v="1042"/>
    <x v="1092"/>
    <x v="1"/>
    <s v="Y"/>
    <s v="No"/>
    <x v="7"/>
    <x v="1"/>
    <n v="1"/>
    <x v="0"/>
    <n v="0"/>
    <x v="5"/>
    <n v="5"/>
    <x v="1"/>
    <x v="6"/>
    <x v="2"/>
    <x v="0"/>
    <x v="2"/>
  </r>
  <r>
    <x v="8"/>
    <x v="1"/>
    <s v="Travel_Rarely"/>
    <n v="1245"/>
    <x v="0"/>
    <n v="14"/>
    <n v="3"/>
    <s v="Life Sciences"/>
    <n v="1"/>
    <n v="1582"/>
    <x v="1"/>
    <x v="1"/>
    <x v="15"/>
    <x v="0"/>
    <x v="0"/>
    <x v="0"/>
    <x v="1"/>
    <x v="1"/>
    <x v="1043"/>
    <x v="773"/>
    <x v="4"/>
    <s v="Y"/>
    <s v="No"/>
    <x v="0"/>
    <x v="0"/>
    <n v="4"/>
    <x v="0"/>
    <n v="1"/>
    <x v="1"/>
    <n v="3"/>
    <x v="1"/>
    <x v="7"/>
    <x v="6"/>
    <x v="4"/>
    <x v="1"/>
  </r>
  <r>
    <x v="8"/>
    <x v="1"/>
    <s v="Travel_Rarely"/>
    <n v="437"/>
    <x v="0"/>
    <n v="16"/>
    <n v="3"/>
    <s v="Life Sciences"/>
    <n v="1"/>
    <n v="1583"/>
    <x v="0"/>
    <x v="0"/>
    <x v="62"/>
    <x v="0"/>
    <x v="0"/>
    <x v="0"/>
    <x v="1"/>
    <x v="0"/>
    <x v="1044"/>
    <x v="1093"/>
    <x v="7"/>
    <s v="Y"/>
    <s v="No"/>
    <x v="3"/>
    <x v="0"/>
    <n v="2"/>
    <x v="0"/>
    <n v="0"/>
    <x v="0"/>
    <n v="5"/>
    <x v="3"/>
    <x v="11"/>
    <x v="3"/>
    <x v="1"/>
    <x v="3"/>
  </r>
  <r>
    <x v="9"/>
    <x v="1"/>
    <s v="Travel_Rarely"/>
    <n v="884"/>
    <x v="0"/>
    <n v="1"/>
    <n v="4"/>
    <s v="Life Sciences"/>
    <n v="1"/>
    <n v="1585"/>
    <x v="0"/>
    <x v="0"/>
    <x v="32"/>
    <x v="0"/>
    <x v="0"/>
    <x v="0"/>
    <x v="2"/>
    <x v="0"/>
    <x v="1045"/>
    <x v="1094"/>
    <x v="2"/>
    <s v="Y"/>
    <s v="No"/>
    <x v="4"/>
    <x v="0"/>
    <n v="1"/>
    <x v="0"/>
    <n v="0"/>
    <x v="20"/>
    <n v="5"/>
    <x v="1"/>
    <x v="6"/>
    <x v="2"/>
    <x v="0"/>
    <x v="2"/>
  </r>
  <r>
    <x v="11"/>
    <x v="1"/>
    <s v="Travel_Rarely"/>
    <n v="1370"/>
    <x v="1"/>
    <n v="3"/>
    <n v="1"/>
    <s v="Medical"/>
    <n v="1"/>
    <n v="1586"/>
    <x v="0"/>
    <x v="1"/>
    <x v="44"/>
    <x v="0"/>
    <x v="1"/>
    <x v="2"/>
    <x v="3"/>
    <x v="0"/>
    <x v="1046"/>
    <x v="1095"/>
    <x v="1"/>
    <s v="Y"/>
    <s v="Yes"/>
    <x v="11"/>
    <x v="0"/>
    <n v="4"/>
    <x v="0"/>
    <n v="0"/>
    <x v="1"/>
    <n v="3"/>
    <x v="1"/>
    <x v="1"/>
    <x v="5"/>
    <x v="1"/>
    <x v="0"/>
  </r>
  <r>
    <x v="10"/>
    <x v="1"/>
    <s v="Travel_Rarely"/>
    <n v="670"/>
    <x v="1"/>
    <n v="10"/>
    <n v="4"/>
    <s v="Medical"/>
    <n v="1"/>
    <n v="1587"/>
    <x v="3"/>
    <x v="0"/>
    <x v="14"/>
    <x v="0"/>
    <x v="0"/>
    <x v="4"/>
    <x v="2"/>
    <x v="0"/>
    <x v="528"/>
    <x v="848"/>
    <x v="9"/>
    <s v="Y"/>
    <s v="Yes"/>
    <x v="10"/>
    <x v="0"/>
    <n v="3"/>
    <x v="0"/>
    <n v="0"/>
    <x v="1"/>
    <n v="4"/>
    <x v="1"/>
    <x v="8"/>
    <x v="3"/>
    <x v="0"/>
    <x v="10"/>
  </r>
  <r>
    <x v="22"/>
    <x v="1"/>
    <s v="Travel_Rarely"/>
    <n v="1462"/>
    <x v="0"/>
    <n v="6"/>
    <n v="3"/>
    <s v="Medical"/>
    <n v="1"/>
    <n v="1588"/>
    <x v="2"/>
    <x v="1"/>
    <x v="70"/>
    <x v="2"/>
    <x v="2"/>
    <x v="0"/>
    <x v="2"/>
    <x v="1"/>
    <x v="1047"/>
    <x v="733"/>
    <x v="7"/>
    <s v="Y"/>
    <s v="No"/>
    <x v="0"/>
    <x v="0"/>
    <n v="1"/>
    <x v="0"/>
    <n v="1"/>
    <x v="27"/>
    <n v="3"/>
    <x v="1"/>
    <x v="5"/>
    <x v="8"/>
    <x v="4"/>
    <x v="4"/>
  </r>
  <r>
    <x v="11"/>
    <x v="1"/>
    <s v="Travel_Frequently"/>
    <n v="995"/>
    <x v="1"/>
    <n v="2"/>
    <n v="1"/>
    <s v="Life Sciences"/>
    <n v="1"/>
    <n v="1590"/>
    <x v="3"/>
    <x v="1"/>
    <x v="44"/>
    <x v="0"/>
    <x v="0"/>
    <x v="4"/>
    <x v="0"/>
    <x v="2"/>
    <x v="1048"/>
    <x v="1096"/>
    <x v="1"/>
    <s v="Y"/>
    <s v="No"/>
    <x v="12"/>
    <x v="0"/>
    <n v="4"/>
    <x v="0"/>
    <n v="1"/>
    <x v="3"/>
    <n v="0"/>
    <x v="3"/>
    <x v="0"/>
    <x v="0"/>
    <x v="1"/>
    <x v="6"/>
  </r>
  <r>
    <x v="24"/>
    <x v="1"/>
    <s v="Travel_Rarely"/>
    <n v="264"/>
    <x v="0"/>
    <n v="9"/>
    <n v="3"/>
    <s v="Marketing"/>
    <n v="1"/>
    <n v="1591"/>
    <x v="1"/>
    <x v="1"/>
    <x v="40"/>
    <x v="0"/>
    <x v="4"/>
    <x v="5"/>
    <x v="2"/>
    <x v="1"/>
    <x v="1049"/>
    <x v="1097"/>
    <x v="5"/>
    <s v="Y"/>
    <s v="Yes"/>
    <x v="10"/>
    <x v="0"/>
    <n v="3"/>
    <x v="0"/>
    <n v="1"/>
    <x v="39"/>
    <n v="2"/>
    <x v="1"/>
    <x v="6"/>
    <x v="2"/>
    <x v="0"/>
    <x v="2"/>
  </r>
  <r>
    <x v="30"/>
    <x v="1"/>
    <s v="Travel_Rarely"/>
    <n v="977"/>
    <x v="1"/>
    <n v="10"/>
    <n v="3"/>
    <s v="Technical Degree"/>
    <n v="1"/>
    <n v="1592"/>
    <x v="2"/>
    <x v="1"/>
    <x v="18"/>
    <x v="2"/>
    <x v="1"/>
    <x v="1"/>
    <x v="2"/>
    <x v="1"/>
    <x v="97"/>
    <x v="1098"/>
    <x v="7"/>
    <s v="Y"/>
    <s v="No"/>
    <x v="10"/>
    <x v="0"/>
    <n v="4"/>
    <x v="0"/>
    <n v="1"/>
    <x v="21"/>
    <n v="2"/>
    <x v="1"/>
    <x v="4"/>
    <x v="3"/>
    <x v="3"/>
    <x v="3"/>
  </r>
  <r>
    <x v="9"/>
    <x v="1"/>
    <s v="Travel_Frequently"/>
    <n v="1302"/>
    <x v="1"/>
    <n v="6"/>
    <n v="4"/>
    <s v="Life Sciences"/>
    <n v="1"/>
    <n v="1594"/>
    <x v="3"/>
    <x v="1"/>
    <x v="15"/>
    <x v="2"/>
    <x v="0"/>
    <x v="2"/>
    <x v="3"/>
    <x v="1"/>
    <x v="622"/>
    <x v="1099"/>
    <x v="9"/>
    <s v="Y"/>
    <s v="Yes"/>
    <x v="4"/>
    <x v="0"/>
    <n v="4"/>
    <x v="0"/>
    <n v="1"/>
    <x v="15"/>
    <n v="3"/>
    <x v="1"/>
    <x v="11"/>
    <x v="3"/>
    <x v="0"/>
    <x v="3"/>
  </r>
  <r>
    <x v="19"/>
    <x v="1"/>
    <s v="Travel_Rarely"/>
    <n v="1059"/>
    <x v="1"/>
    <n v="9"/>
    <n v="2"/>
    <s v="Other"/>
    <n v="1"/>
    <n v="1595"/>
    <x v="2"/>
    <x v="1"/>
    <x v="12"/>
    <x v="1"/>
    <x v="4"/>
    <x v="5"/>
    <x v="0"/>
    <x v="0"/>
    <x v="1050"/>
    <x v="1100"/>
    <x v="0"/>
    <s v="Y"/>
    <s v="No"/>
    <x v="6"/>
    <x v="1"/>
    <n v="4"/>
    <x v="0"/>
    <n v="0"/>
    <x v="13"/>
    <n v="2"/>
    <x v="1"/>
    <x v="6"/>
    <x v="2"/>
    <x v="0"/>
    <x v="9"/>
  </r>
  <r>
    <x v="10"/>
    <x v="1"/>
    <s v="Travel_Rarely"/>
    <n v="750"/>
    <x v="1"/>
    <n v="28"/>
    <n v="3"/>
    <s v="Life Sciences"/>
    <n v="1"/>
    <n v="1596"/>
    <x v="0"/>
    <x v="1"/>
    <x v="55"/>
    <x v="2"/>
    <x v="0"/>
    <x v="2"/>
    <x v="2"/>
    <x v="1"/>
    <x v="21"/>
    <x v="1101"/>
    <x v="1"/>
    <s v="Y"/>
    <s v="No"/>
    <x v="8"/>
    <x v="0"/>
    <n v="4"/>
    <x v="0"/>
    <n v="2"/>
    <x v="1"/>
    <n v="3"/>
    <x v="2"/>
    <x v="1"/>
    <x v="5"/>
    <x v="7"/>
    <x v="5"/>
  </r>
  <r>
    <x v="13"/>
    <x v="1"/>
    <s v="Travel_Frequently"/>
    <n v="653"/>
    <x v="1"/>
    <n v="10"/>
    <n v="4"/>
    <s v="Technical Degree"/>
    <n v="1"/>
    <n v="1597"/>
    <x v="2"/>
    <x v="1"/>
    <x v="2"/>
    <x v="1"/>
    <x v="0"/>
    <x v="4"/>
    <x v="2"/>
    <x v="1"/>
    <x v="1051"/>
    <x v="1102"/>
    <x v="1"/>
    <s v="Y"/>
    <s v="No"/>
    <x v="9"/>
    <x v="0"/>
    <n v="2"/>
    <x v="0"/>
    <n v="1"/>
    <x v="0"/>
    <n v="3"/>
    <x v="2"/>
    <x v="3"/>
    <x v="3"/>
    <x v="4"/>
    <x v="1"/>
  </r>
  <r>
    <x v="32"/>
    <x v="1"/>
    <s v="Travel_Rarely"/>
    <n v="118"/>
    <x v="0"/>
    <n v="14"/>
    <n v="2"/>
    <s v="Life Sciences"/>
    <n v="1"/>
    <n v="1598"/>
    <x v="2"/>
    <x v="0"/>
    <x v="9"/>
    <x v="0"/>
    <x v="0"/>
    <x v="0"/>
    <x v="3"/>
    <x v="1"/>
    <x v="912"/>
    <x v="1103"/>
    <x v="1"/>
    <s v="Y"/>
    <s v="No"/>
    <x v="2"/>
    <x v="0"/>
    <n v="3"/>
    <x v="0"/>
    <n v="1"/>
    <x v="7"/>
    <n v="2"/>
    <x v="1"/>
    <x v="8"/>
    <x v="0"/>
    <x v="1"/>
    <x v="3"/>
  </r>
  <r>
    <x v="23"/>
    <x v="1"/>
    <s v="Travel_Rarely"/>
    <n v="990"/>
    <x v="1"/>
    <n v="27"/>
    <n v="3"/>
    <s v="Technical Degree"/>
    <n v="1"/>
    <n v="1599"/>
    <x v="2"/>
    <x v="1"/>
    <x v="44"/>
    <x v="2"/>
    <x v="1"/>
    <x v="2"/>
    <x v="1"/>
    <x v="2"/>
    <x v="204"/>
    <x v="1104"/>
    <x v="6"/>
    <s v="Y"/>
    <s v="No"/>
    <x v="3"/>
    <x v="0"/>
    <n v="3"/>
    <x v="0"/>
    <n v="1"/>
    <x v="0"/>
    <n v="0"/>
    <x v="1"/>
    <x v="0"/>
    <x v="0"/>
    <x v="0"/>
    <x v="3"/>
  </r>
  <r>
    <x v="10"/>
    <x v="1"/>
    <s v="Travel_Rarely"/>
    <n v="1349"/>
    <x v="1"/>
    <n v="7"/>
    <n v="2"/>
    <s v="Life Sciences"/>
    <n v="1"/>
    <n v="1601"/>
    <x v="1"/>
    <x v="1"/>
    <x v="52"/>
    <x v="1"/>
    <x v="1"/>
    <x v="2"/>
    <x v="0"/>
    <x v="1"/>
    <x v="1052"/>
    <x v="1105"/>
    <x v="1"/>
    <s v="Y"/>
    <s v="No"/>
    <x v="11"/>
    <x v="0"/>
    <n v="4"/>
    <x v="0"/>
    <n v="1"/>
    <x v="5"/>
    <n v="5"/>
    <x v="2"/>
    <x v="6"/>
    <x v="2"/>
    <x v="0"/>
    <x v="9"/>
  </r>
  <r>
    <x v="21"/>
    <x v="1"/>
    <s v="Travel_Rarely"/>
    <n v="563"/>
    <x v="0"/>
    <n v="1"/>
    <n v="4"/>
    <s v="Life Sciences"/>
    <n v="1"/>
    <n v="1602"/>
    <x v="2"/>
    <x v="1"/>
    <x v="3"/>
    <x v="2"/>
    <x v="3"/>
    <x v="5"/>
    <x v="3"/>
    <x v="0"/>
    <x v="1053"/>
    <x v="1106"/>
    <x v="1"/>
    <s v="Y"/>
    <s v="No"/>
    <x v="2"/>
    <x v="0"/>
    <n v="2"/>
    <x v="0"/>
    <n v="0"/>
    <x v="39"/>
    <n v="5"/>
    <x v="0"/>
    <x v="34"/>
    <x v="2"/>
    <x v="0"/>
    <x v="11"/>
  </r>
  <r>
    <x v="14"/>
    <x v="0"/>
    <s v="Travel_Rarely"/>
    <n v="329"/>
    <x v="1"/>
    <n v="24"/>
    <n v="3"/>
    <s v="Medical"/>
    <n v="1"/>
    <n v="1604"/>
    <x v="1"/>
    <x v="1"/>
    <x v="14"/>
    <x v="0"/>
    <x v="1"/>
    <x v="2"/>
    <x v="1"/>
    <x v="1"/>
    <x v="1054"/>
    <x v="17"/>
    <x v="1"/>
    <s v="Y"/>
    <s v="Yes"/>
    <x v="8"/>
    <x v="0"/>
    <n v="3"/>
    <x v="0"/>
    <n v="3"/>
    <x v="5"/>
    <n v="3"/>
    <x v="1"/>
    <x v="6"/>
    <x v="10"/>
    <x v="0"/>
    <x v="2"/>
  </r>
  <r>
    <x v="15"/>
    <x v="1"/>
    <s v="Non-Travel"/>
    <n v="457"/>
    <x v="1"/>
    <n v="26"/>
    <n v="2"/>
    <s v="Other"/>
    <n v="1"/>
    <n v="1605"/>
    <x v="0"/>
    <x v="0"/>
    <x v="65"/>
    <x v="1"/>
    <x v="1"/>
    <x v="1"/>
    <x v="2"/>
    <x v="1"/>
    <x v="1055"/>
    <x v="1107"/>
    <x v="1"/>
    <s v="Y"/>
    <s v="Yes"/>
    <x v="9"/>
    <x v="0"/>
    <n v="2"/>
    <x v="0"/>
    <n v="0"/>
    <x v="21"/>
    <n v="2"/>
    <x v="2"/>
    <x v="9"/>
    <x v="3"/>
    <x v="1"/>
    <x v="6"/>
  </r>
  <r>
    <x v="24"/>
    <x v="1"/>
    <s v="Travel_Frequently"/>
    <n v="1234"/>
    <x v="1"/>
    <n v="20"/>
    <n v="5"/>
    <s v="Medical"/>
    <n v="1"/>
    <n v="1606"/>
    <x v="0"/>
    <x v="1"/>
    <x v="26"/>
    <x v="0"/>
    <x v="3"/>
    <x v="4"/>
    <x v="2"/>
    <x v="1"/>
    <x v="1056"/>
    <x v="1108"/>
    <x v="7"/>
    <s v="Y"/>
    <s v="Yes"/>
    <x v="2"/>
    <x v="0"/>
    <n v="3"/>
    <x v="0"/>
    <n v="1"/>
    <x v="36"/>
    <n v="3"/>
    <x v="1"/>
    <x v="35"/>
    <x v="6"/>
    <x v="12"/>
    <x v="15"/>
  </r>
  <r>
    <x v="5"/>
    <x v="1"/>
    <s v="Travel_Rarely"/>
    <n v="634"/>
    <x v="1"/>
    <n v="5"/>
    <n v="4"/>
    <s v="Other"/>
    <n v="1"/>
    <n v="1607"/>
    <x v="0"/>
    <x v="0"/>
    <x v="58"/>
    <x v="2"/>
    <x v="1"/>
    <x v="1"/>
    <x v="0"/>
    <x v="1"/>
    <x v="1057"/>
    <x v="1109"/>
    <x v="9"/>
    <s v="Y"/>
    <s v="No"/>
    <x v="8"/>
    <x v="0"/>
    <n v="4"/>
    <x v="0"/>
    <n v="2"/>
    <x v="3"/>
    <n v="3"/>
    <x v="1"/>
    <x v="11"/>
    <x v="3"/>
    <x v="0"/>
    <x v="3"/>
  </r>
  <r>
    <x v="20"/>
    <x v="1"/>
    <s v="Travel_Rarely"/>
    <n v="1313"/>
    <x v="1"/>
    <n v="7"/>
    <n v="3"/>
    <s v="Medical"/>
    <n v="1"/>
    <n v="1608"/>
    <x v="0"/>
    <x v="0"/>
    <x v="11"/>
    <x v="0"/>
    <x v="4"/>
    <x v="7"/>
    <x v="0"/>
    <x v="2"/>
    <x v="1058"/>
    <x v="1110"/>
    <x v="4"/>
    <s v="Y"/>
    <s v="Yes"/>
    <x v="9"/>
    <x v="0"/>
    <n v="4"/>
    <x v="0"/>
    <n v="1"/>
    <x v="18"/>
    <n v="4"/>
    <x v="2"/>
    <x v="14"/>
    <x v="1"/>
    <x v="1"/>
    <x v="13"/>
  </r>
  <r>
    <x v="7"/>
    <x v="1"/>
    <s v="Travel_Rarely"/>
    <n v="241"/>
    <x v="1"/>
    <n v="7"/>
    <n v="3"/>
    <s v="Medical"/>
    <n v="1"/>
    <n v="1609"/>
    <x v="0"/>
    <x v="1"/>
    <x v="24"/>
    <x v="1"/>
    <x v="1"/>
    <x v="1"/>
    <x v="1"/>
    <x v="1"/>
    <x v="1059"/>
    <x v="1111"/>
    <x v="1"/>
    <s v="Y"/>
    <s v="No"/>
    <x v="3"/>
    <x v="0"/>
    <n v="2"/>
    <x v="0"/>
    <n v="1"/>
    <x v="3"/>
    <n v="3"/>
    <x v="2"/>
    <x v="0"/>
    <x v="0"/>
    <x v="1"/>
    <x v="9"/>
  </r>
  <r>
    <x v="28"/>
    <x v="1"/>
    <s v="Travel_Rarely"/>
    <n v="1015"/>
    <x v="1"/>
    <n v="5"/>
    <n v="5"/>
    <s v="Medical"/>
    <n v="1"/>
    <n v="1611"/>
    <x v="1"/>
    <x v="0"/>
    <x v="13"/>
    <x v="3"/>
    <x v="0"/>
    <x v="2"/>
    <x v="3"/>
    <x v="0"/>
    <x v="939"/>
    <x v="1112"/>
    <x v="1"/>
    <s v="Y"/>
    <s v="Yes"/>
    <x v="9"/>
    <x v="0"/>
    <n v="1"/>
    <x v="0"/>
    <n v="0"/>
    <x v="1"/>
    <n v="3"/>
    <x v="1"/>
    <x v="1"/>
    <x v="1"/>
    <x v="1"/>
    <x v="10"/>
  </r>
  <r>
    <x v="28"/>
    <x v="1"/>
    <s v="Non-Travel"/>
    <n v="336"/>
    <x v="0"/>
    <n v="26"/>
    <n v="3"/>
    <s v="Marketing"/>
    <n v="1"/>
    <n v="1612"/>
    <x v="3"/>
    <x v="1"/>
    <x v="48"/>
    <x v="1"/>
    <x v="0"/>
    <x v="0"/>
    <x v="3"/>
    <x v="1"/>
    <x v="1060"/>
    <x v="1113"/>
    <x v="1"/>
    <s v="Y"/>
    <s v="No"/>
    <x v="2"/>
    <x v="0"/>
    <n v="1"/>
    <x v="0"/>
    <n v="1"/>
    <x v="1"/>
    <n v="2"/>
    <x v="1"/>
    <x v="1"/>
    <x v="1"/>
    <x v="5"/>
    <x v="0"/>
  </r>
  <r>
    <x v="12"/>
    <x v="1"/>
    <s v="Travel_Frequently"/>
    <n v="715"/>
    <x v="0"/>
    <n v="2"/>
    <n v="4"/>
    <s v="Other"/>
    <n v="1"/>
    <n v="1613"/>
    <x v="2"/>
    <x v="1"/>
    <x v="60"/>
    <x v="0"/>
    <x v="0"/>
    <x v="0"/>
    <x v="3"/>
    <x v="0"/>
    <x v="1061"/>
    <x v="1114"/>
    <x v="8"/>
    <s v="Y"/>
    <s v="No"/>
    <x v="4"/>
    <x v="0"/>
    <n v="4"/>
    <x v="0"/>
    <n v="0"/>
    <x v="1"/>
    <n v="3"/>
    <x v="1"/>
    <x v="8"/>
    <x v="3"/>
    <x v="0"/>
    <x v="6"/>
  </r>
  <r>
    <x v="9"/>
    <x v="1"/>
    <s v="Travel_Rarely"/>
    <n v="559"/>
    <x v="1"/>
    <n v="12"/>
    <n v="4"/>
    <s v="Life Sciences"/>
    <n v="1"/>
    <n v="1614"/>
    <x v="1"/>
    <x v="0"/>
    <x v="43"/>
    <x v="0"/>
    <x v="0"/>
    <x v="3"/>
    <x v="2"/>
    <x v="1"/>
    <x v="1062"/>
    <x v="1115"/>
    <x v="3"/>
    <s v="Y"/>
    <s v="Yes"/>
    <x v="3"/>
    <x v="0"/>
    <n v="2"/>
    <x v="0"/>
    <n v="2"/>
    <x v="2"/>
    <n v="2"/>
    <x v="1"/>
    <x v="11"/>
    <x v="3"/>
    <x v="1"/>
    <x v="9"/>
  </r>
  <r>
    <x v="13"/>
    <x v="1"/>
    <s v="Travel_Frequently"/>
    <n v="426"/>
    <x v="1"/>
    <n v="10"/>
    <n v="4"/>
    <s v="Life Sciences"/>
    <n v="1"/>
    <n v="1615"/>
    <x v="1"/>
    <x v="1"/>
    <x v="25"/>
    <x v="2"/>
    <x v="0"/>
    <x v="3"/>
    <x v="0"/>
    <x v="2"/>
    <x v="927"/>
    <x v="1116"/>
    <x v="1"/>
    <s v="Y"/>
    <s v="No"/>
    <x v="4"/>
    <x v="0"/>
    <n v="1"/>
    <x v="0"/>
    <n v="1"/>
    <x v="15"/>
    <n v="3"/>
    <x v="1"/>
    <x v="7"/>
    <x v="1"/>
    <x v="4"/>
    <x v="3"/>
  </r>
  <r>
    <x v="1"/>
    <x v="1"/>
    <s v="Travel_Rarely"/>
    <n v="722"/>
    <x v="1"/>
    <n v="25"/>
    <n v="4"/>
    <s v="Life Sciences"/>
    <n v="1"/>
    <n v="1617"/>
    <x v="1"/>
    <x v="0"/>
    <x v="9"/>
    <x v="0"/>
    <x v="1"/>
    <x v="2"/>
    <x v="3"/>
    <x v="1"/>
    <x v="1063"/>
    <x v="421"/>
    <x v="1"/>
    <s v="Y"/>
    <s v="No"/>
    <x v="9"/>
    <x v="0"/>
    <n v="4"/>
    <x v="0"/>
    <n v="1"/>
    <x v="1"/>
    <n v="3"/>
    <x v="2"/>
    <x v="7"/>
    <x v="8"/>
    <x v="1"/>
    <x v="10"/>
  </r>
  <r>
    <x v="22"/>
    <x v="1"/>
    <s v="Travel_Rarely"/>
    <n v="1387"/>
    <x v="1"/>
    <n v="10"/>
    <n v="5"/>
    <s v="Medical"/>
    <n v="1"/>
    <n v="1618"/>
    <x v="0"/>
    <x v="1"/>
    <x v="43"/>
    <x v="0"/>
    <x v="0"/>
    <x v="3"/>
    <x v="3"/>
    <x v="1"/>
    <x v="1064"/>
    <x v="1117"/>
    <x v="7"/>
    <s v="Y"/>
    <s v="No"/>
    <x v="4"/>
    <x v="0"/>
    <n v="4"/>
    <x v="0"/>
    <n v="3"/>
    <x v="1"/>
    <n v="3"/>
    <x v="1"/>
    <x v="5"/>
    <x v="1"/>
    <x v="4"/>
    <x v="1"/>
  </r>
  <r>
    <x v="4"/>
    <x v="1"/>
    <s v="Travel_Rarely"/>
    <n v="1302"/>
    <x v="1"/>
    <n v="19"/>
    <n v="3"/>
    <s v="Other"/>
    <n v="1"/>
    <n v="1619"/>
    <x v="2"/>
    <x v="1"/>
    <x v="7"/>
    <x v="1"/>
    <x v="1"/>
    <x v="2"/>
    <x v="3"/>
    <x v="2"/>
    <x v="1065"/>
    <x v="1118"/>
    <x v="1"/>
    <s v="Y"/>
    <s v="No"/>
    <x v="0"/>
    <x v="0"/>
    <n v="1"/>
    <x v="0"/>
    <n v="2"/>
    <x v="2"/>
    <n v="3"/>
    <x v="1"/>
    <x v="5"/>
    <x v="1"/>
    <x v="0"/>
    <x v="1"/>
  </r>
  <r>
    <x v="10"/>
    <x v="1"/>
    <s v="Travel_Rarely"/>
    <n v="819"/>
    <x v="1"/>
    <n v="18"/>
    <n v="5"/>
    <s v="Life Sciences"/>
    <n v="1"/>
    <n v="1621"/>
    <x v="0"/>
    <x v="1"/>
    <x v="24"/>
    <x v="2"/>
    <x v="0"/>
    <x v="1"/>
    <x v="3"/>
    <x v="1"/>
    <x v="1066"/>
    <x v="1119"/>
    <x v="1"/>
    <s v="Y"/>
    <s v="No"/>
    <x v="0"/>
    <x v="0"/>
    <n v="4"/>
    <x v="0"/>
    <n v="0"/>
    <x v="28"/>
    <n v="2"/>
    <x v="1"/>
    <x v="22"/>
    <x v="11"/>
    <x v="1"/>
    <x v="13"/>
  </r>
  <r>
    <x v="14"/>
    <x v="1"/>
    <s v="Travel_Rarely"/>
    <n v="580"/>
    <x v="1"/>
    <n v="27"/>
    <n v="3"/>
    <s v="Medical"/>
    <n v="1"/>
    <n v="1622"/>
    <x v="0"/>
    <x v="0"/>
    <x v="56"/>
    <x v="3"/>
    <x v="0"/>
    <x v="3"/>
    <x v="3"/>
    <x v="2"/>
    <x v="1067"/>
    <x v="1120"/>
    <x v="4"/>
    <s v="Y"/>
    <s v="No"/>
    <x v="7"/>
    <x v="1"/>
    <n v="2"/>
    <x v="0"/>
    <n v="1"/>
    <x v="3"/>
    <n v="5"/>
    <x v="2"/>
    <x v="8"/>
    <x v="7"/>
    <x v="0"/>
    <x v="2"/>
  </r>
  <r>
    <x v="18"/>
    <x v="1"/>
    <s v="Travel_Rarely"/>
    <n v="546"/>
    <x v="1"/>
    <n v="5"/>
    <n v="1"/>
    <s v="Medical"/>
    <n v="1"/>
    <n v="1623"/>
    <x v="1"/>
    <x v="1"/>
    <x v="28"/>
    <x v="0"/>
    <x v="1"/>
    <x v="1"/>
    <x v="0"/>
    <x v="0"/>
    <x v="1068"/>
    <x v="1121"/>
    <x v="1"/>
    <s v="Y"/>
    <s v="No"/>
    <x v="11"/>
    <x v="0"/>
    <n v="3"/>
    <x v="0"/>
    <n v="0"/>
    <x v="8"/>
    <n v="2"/>
    <x v="1"/>
    <x v="4"/>
    <x v="3"/>
    <x v="3"/>
    <x v="3"/>
  </r>
  <r>
    <x v="41"/>
    <x v="0"/>
    <s v="Travel_Frequently"/>
    <n v="544"/>
    <x v="0"/>
    <n v="3"/>
    <n v="2"/>
    <s v="Medical"/>
    <n v="1"/>
    <n v="1624"/>
    <x v="0"/>
    <x v="0"/>
    <x v="49"/>
    <x v="0"/>
    <x v="1"/>
    <x v="6"/>
    <x v="0"/>
    <x v="0"/>
    <x v="1069"/>
    <x v="1122"/>
    <x v="1"/>
    <s v="Y"/>
    <s v="Yes"/>
    <x v="3"/>
    <x v="0"/>
    <n v="3"/>
    <x v="0"/>
    <n v="0"/>
    <x v="11"/>
    <n v="2"/>
    <x v="3"/>
    <x v="2"/>
    <x v="2"/>
    <x v="0"/>
    <x v="2"/>
  </r>
  <r>
    <x v="40"/>
    <x v="1"/>
    <s v="Travel_Rarely"/>
    <n v="1176"/>
    <x v="2"/>
    <n v="26"/>
    <n v="4"/>
    <s v="Life Sciences"/>
    <n v="1"/>
    <n v="1625"/>
    <x v="2"/>
    <x v="0"/>
    <x v="33"/>
    <x v="0"/>
    <x v="4"/>
    <x v="5"/>
    <x v="2"/>
    <x v="1"/>
    <x v="1070"/>
    <x v="1123"/>
    <x v="9"/>
    <s v="Y"/>
    <s v="No"/>
    <x v="0"/>
    <x v="0"/>
    <n v="3"/>
    <x v="0"/>
    <n v="1"/>
    <x v="39"/>
    <n v="2"/>
    <x v="1"/>
    <x v="8"/>
    <x v="3"/>
    <x v="1"/>
    <x v="2"/>
  </r>
  <r>
    <x v="22"/>
    <x v="1"/>
    <s v="Travel_Rarely"/>
    <n v="170"/>
    <x v="1"/>
    <n v="3"/>
    <n v="2"/>
    <s v="Medical"/>
    <n v="1"/>
    <n v="1627"/>
    <x v="1"/>
    <x v="1"/>
    <x v="43"/>
    <x v="1"/>
    <x v="0"/>
    <x v="2"/>
    <x v="2"/>
    <x v="2"/>
    <x v="1071"/>
    <x v="1124"/>
    <x v="4"/>
    <s v="Y"/>
    <s v="No"/>
    <x v="2"/>
    <x v="0"/>
    <n v="4"/>
    <x v="0"/>
    <n v="1"/>
    <x v="27"/>
    <n v="3"/>
    <x v="1"/>
    <x v="1"/>
    <x v="6"/>
    <x v="0"/>
    <x v="1"/>
  </r>
  <r>
    <x v="32"/>
    <x v="1"/>
    <s v="Travel_Rarely"/>
    <n v="884"/>
    <x v="1"/>
    <n v="15"/>
    <n v="3"/>
    <s v="Life Sciences"/>
    <n v="1"/>
    <n v="1628"/>
    <x v="3"/>
    <x v="0"/>
    <x v="15"/>
    <x v="1"/>
    <x v="2"/>
    <x v="3"/>
    <x v="2"/>
    <x v="1"/>
    <x v="1072"/>
    <x v="1125"/>
    <x v="1"/>
    <s v="Y"/>
    <s v="No"/>
    <x v="4"/>
    <x v="0"/>
    <n v="4"/>
    <x v="0"/>
    <n v="2"/>
    <x v="33"/>
    <n v="2"/>
    <x v="1"/>
    <x v="29"/>
    <x v="11"/>
    <x v="15"/>
    <x v="11"/>
  </r>
  <r>
    <x v="10"/>
    <x v="1"/>
    <s v="Non-Travel"/>
    <n v="208"/>
    <x v="1"/>
    <n v="8"/>
    <n v="4"/>
    <s v="Life Sciences"/>
    <n v="1"/>
    <n v="1630"/>
    <x v="1"/>
    <x v="0"/>
    <x v="48"/>
    <x v="0"/>
    <x v="0"/>
    <x v="4"/>
    <x v="2"/>
    <x v="1"/>
    <x v="691"/>
    <x v="1126"/>
    <x v="1"/>
    <s v="Y"/>
    <s v="No"/>
    <x v="3"/>
    <x v="0"/>
    <n v="4"/>
    <x v="0"/>
    <n v="1"/>
    <x v="20"/>
    <n v="5"/>
    <x v="1"/>
    <x v="13"/>
    <x v="14"/>
    <x v="3"/>
    <x v="12"/>
  </r>
  <r>
    <x v="2"/>
    <x v="1"/>
    <s v="Travel_Rarely"/>
    <n v="671"/>
    <x v="1"/>
    <n v="19"/>
    <n v="3"/>
    <s v="Life Sciences"/>
    <n v="1"/>
    <n v="1631"/>
    <x v="1"/>
    <x v="1"/>
    <x v="65"/>
    <x v="0"/>
    <x v="0"/>
    <x v="3"/>
    <x v="2"/>
    <x v="1"/>
    <x v="1073"/>
    <x v="1127"/>
    <x v="9"/>
    <s v="Y"/>
    <s v="No"/>
    <x v="8"/>
    <x v="0"/>
    <n v="1"/>
    <x v="0"/>
    <n v="3"/>
    <x v="15"/>
    <n v="2"/>
    <x v="2"/>
    <x v="9"/>
    <x v="7"/>
    <x v="0"/>
    <x v="3"/>
  </r>
  <r>
    <x v="22"/>
    <x v="1"/>
    <s v="Travel_Frequently"/>
    <n v="711"/>
    <x v="1"/>
    <n v="4"/>
    <n v="3"/>
    <s v="Medical"/>
    <n v="1"/>
    <n v="1633"/>
    <x v="3"/>
    <x v="0"/>
    <x v="6"/>
    <x v="0"/>
    <x v="0"/>
    <x v="3"/>
    <x v="2"/>
    <x v="0"/>
    <x v="1074"/>
    <x v="1128"/>
    <x v="4"/>
    <s v="Y"/>
    <s v="No"/>
    <x v="4"/>
    <x v="0"/>
    <n v="4"/>
    <x v="0"/>
    <n v="0"/>
    <x v="1"/>
    <n v="2"/>
    <x v="0"/>
    <x v="7"/>
    <x v="3"/>
    <x v="2"/>
    <x v="5"/>
  </r>
  <r>
    <x v="28"/>
    <x v="1"/>
    <s v="Travel_Rarely"/>
    <n v="1329"/>
    <x v="1"/>
    <n v="2"/>
    <n v="2"/>
    <s v="Other"/>
    <n v="1"/>
    <n v="1635"/>
    <x v="2"/>
    <x v="0"/>
    <x v="40"/>
    <x v="1"/>
    <x v="0"/>
    <x v="3"/>
    <x v="0"/>
    <x v="2"/>
    <x v="1075"/>
    <x v="1129"/>
    <x v="1"/>
    <s v="Y"/>
    <s v="No"/>
    <x v="12"/>
    <x v="0"/>
    <n v="1"/>
    <x v="0"/>
    <n v="2"/>
    <x v="1"/>
    <n v="3"/>
    <x v="1"/>
    <x v="1"/>
    <x v="1"/>
    <x v="2"/>
    <x v="12"/>
  </r>
  <r>
    <x v="8"/>
    <x v="1"/>
    <s v="Travel_Rarely"/>
    <n v="397"/>
    <x v="1"/>
    <n v="2"/>
    <n v="2"/>
    <s v="Medical"/>
    <n v="1"/>
    <n v="1638"/>
    <x v="2"/>
    <x v="0"/>
    <x v="60"/>
    <x v="1"/>
    <x v="2"/>
    <x v="3"/>
    <x v="2"/>
    <x v="1"/>
    <x v="751"/>
    <x v="1130"/>
    <x v="9"/>
    <s v="Y"/>
    <s v="Yes"/>
    <x v="12"/>
    <x v="0"/>
    <n v="4"/>
    <x v="0"/>
    <n v="1"/>
    <x v="1"/>
    <n v="6"/>
    <x v="3"/>
    <x v="8"/>
    <x v="0"/>
    <x v="0"/>
    <x v="3"/>
  </r>
  <r>
    <x v="10"/>
    <x v="0"/>
    <s v="Travel_Rarely"/>
    <n v="737"/>
    <x v="0"/>
    <n v="10"/>
    <n v="3"/>
    <s v="Medical"/>
    <n v="1"/>
    <n v="1639"/>
    <x v="2"/>
    <x v="1"/>
    <x v="46"/>
    <x v="1"/>
    <x v="2"/>
    <x v="0"/>
    <x v="3"/>
    <x v="1"/>
    <x v="1076"/>
    <x v="1131"/>
    <x v="3"/>
    <s v="Y"/>
    <s v="No"/>
    <x v="8"/>
    <x v="0"/>
    <n v="3"/>
    <x v="0"/>
    <n v="0"/>
    <x v="20"/>
    <n v="3"/>
    <x v="1"/>
    <x v="20"/>
    <x v="16"/>
    <x v="7"/>
    <x v="2"/>
  </r>
  <r>
    <x v="2"/>
    <x v="1"/>
    <s v="Travel_Rarely"/>
    <n v="1470"/>
    <x v="1"/>
    <n v="10"/>
    <n v="3"/>
    <s v="Medical"/>
    <n v="1"/>
    <n v="1640"/>
    <x v="0"/>
    <x v="0"/>
    <x v="36"/>
    <x v="0"/>
    <x v="1"/>
    <x v="1"/>
    <x v="1"/>
    <x v="1"/>
    <x v="1077"/>
    <x v="1132"/>
    <x v="1"/>
    <s v="Y"/>
    <s v="No"/>
    <x v="0"/>
    <x v="0"/>
    <n v="1"/>
    <x v="0"/>
    <n v="1"/>
    <x v="0"/>
    <n v="2"/>
    <x v="0"/>
    <x v="3"/>
    <x v="0"/>
    <x v="4"/>
    <x v="1"/>
  </r>
  <r>
    <x v="32"/>
    <x v="1"/>
    <s v="Travel_Rarely"/>
    <n v="448"/>
    <x v="1"/>
    <n v="16"/>
    <n v="3"/>
    <s v="Life Sciences"/>
    <n v="1"/>
    <n v="1641"/>
    <x v="1"/>
    <x v="0"/>
    <x v="9"/>
    <x v="0"/>
    <x v="2"/>
    <x v="3"/>
    <x v="0"/>
    <x v="0"/>
    <x v="1078"/>
    <x v="1133"/>
    <x v="2"/>
    <s v="Y"/>
    <s v="Yes"/>
    <x v="2"/>
    <x v="0"/>
    <n v="4"/>
    <x v="0"/>
    <n v="0"/>
    <x v="33"/>
    <n v="2"/>
    <x v="2"/>
    <x v="9"/>
    <x v="3"/>
    <x v="2"/>
    <x v="6"/>
  </r>
  <r>
    <x v="20"/>
    <x v="1"/>
    <s v="Travel_Frequently"/>
    <n v="602"/>
    <x v="2"/>
    <n v="1"/>
    <n v="5"/>
    <s v="Human Resources"/>
    <n v="1"/>
    <n v="1642"/>
    <x v="3"/>
    <x v="1"/>
    <x v="31"/>
    <x v="0"/>
    <x v="0"/>
    <x v="8"/>
    <x v="0"/>
    <x v="1"/>
    <x v="1079"/>
    <x v="1134"/>
    <x v="5"/>
    <s v="Y"/>
    <s v="Yes"/>
    <x v="0"/>
    <x v="0"/>
    <n v="3"/>
    <x v="0"/>
    <n v="0"/>
    <x v="19"/>
    <n v="3"/>
    <x v="1"/>
    <x v="1"/>
    <x v="1"/>
    <x v="0"/>
    <x v="3"/>
  </r>
  <r>
    <x v="26"/>
    <x v="1"/>
    <s v="Travel_Frequently"/>
    <n v="365"/>
    <x v="1"/>
    <n v="4"/>
    <n v="5"/>
    <s v="Medical"/>
    <n v="1"/>
    <n v="1644"/>
    <x v="1"/>
    <x v="1"/>
    <x v="66"/>
    <x v="1"/>
    <x v="3"/>
    <x v="5"/>
    <x v="0"/>
    <x v="1"/>
    <x v="1080"/>
    <x v="1135"/>
    <x v="7"/>
    <s v="Y"/>
    <s v="No"/>
    <x v="14"/>
    <x v="1"/>
    <n v="2"/>
    <x v="0"/>
    <n v="1"/>
    <x v="18"/>
    <n v="3"/>
    <x v="1"/>
    <x v="4"/>
    <x v="3"/>
    <x v="3"/>
    <x v="3"/>
  </r>
  <r>
    <x v="10"/>
    <x v="0"/>
    <s v="Travel_Rarely"/>
    <n v="763"/>
    <x v="0"/>
    <n v="15"/>
    <n v="2"/>
    <s v="Medical"/>
    <n v="1"/>
    <n v="1645"/>
    <x v="3"/>
    <x v="1"/>
    <x v="40"/>
    <x v="3"/>
    <x v="0"/>
    <x v="0"/>
    <x v="0"/>
    <x v="2"/>
    <x v="1081"/>
    <x v="1136"/>
    <x v="2"/>
    <s v="Y"/>
    <s v="Yes"/>
    <x v="9"/>
    <x v="0"/>
    <n v="4"/>
    <x v="0"/>
    <n v="2"/>
    <x v="2"/>
    <n v="2"/>
    <x v="2"/>
    <x v="4"/>
    <x v="3"/>
    <x v="3"/>
    <x v="3"/>
  </r>
  <r>
    <x v="17"/>
    <x v="1"/>
    <s v="Travel_Frequently"/>
    <n v="567"/>
    <x v="1"/>
    <n v="2"/>
    <n v="1"/>
    <s v="Technical Degree"/>
    <n v="1"/>
    <n v="1646"/>
    <x v="3"/>
    <x v="0"/>
    <x v="47"/>
    <x v="0"/>
    <x v="1"/>
    <x v="1"/>
    <x v="0"/>
    <x v="0"/>
    <x v="841"/>
    <x v="1137"/>
    <x v="1"/>
    <s v="Y"/>
    <s v="Yes"/>
    <x v="4"/>
    <x v="0"/>
    <n v="3"/>
    <x v="0"/>
    <n v="0"/>
    <x v="3"/>
    <n v="2"/>
    <x v="1"/>
    <x v="0"/>
    <x v="7"/>
    <x v="1"/>
    <x v="6"/>
  </r>
  <r>
    <x v="4"/>
    <x v="1"/>
    <s v="Travel_Rarely"/>
    <n v="486"/>
    <x v="1"/>
    <n v="8"/>
    <n v="3"/>
    <s v="Medical"/>
    <n v="1"/>
    <n v="1647"/>
    <x v="0"/>
    <x v="0"/>
    <x v="27"/>
    <x v="2"/>
    <x v="1"/>
    <x v="1"/>
    <x v="2"/>
    <x v="1"/>
    <x v="1082"/>
    <x v="1138"/>
    <x v="8"/>
    <s v="Y"/>
    <s v="No"/>
    <x v="8"/>
    <x v="0"/>
    <n v="1"/>
    <x v="0"/>
    <n v="0"/>
    <x v="7"/>
    <n v="0"/>
    <x v="1"/>
    <x v="11"/>
    <x v="3"/>
    <x v="0"/>
    <x v="3"/>
  </r>
  <r>
    <x v="4"/>
    <x v="1"/>
    <s v="Travel_Frequently"/>
    <n v="591"/>
    <x v="1"/>
    <n v="2"/>
    <n v="3"/>
    <s v="Medical"/>
    <n v="1"/>
    <n v="1648"/>
    <x v="2"/>
    <x v="1"/>
    <x v="44"/>
    <x v="0"/>
    <x v="1"/>
    <x v="1"/>
    <x v="0"/>
    <x v="0"/>
    <x v="1083"/>
    <x v="1139"/>
    <x v="7"/>
    <s v="Y"/>
    <s v="No"/>
    <x v="4"/>
    <x v="0"/>
    <n v="3"/>
    <x v="0"/>
    <n v="0"/>
    <x v="3"/>
    <n v="0"/>
    <x v="2"/>
    <x v="9"/>
    <x v="3"/>
    <x v="1"/>
    <x v="3"/>
  </r>
  <r>
    <x v="32"/>
    <x v="0"/>
    <s v="Travel_Rarely"/>
    <n v="1329"/>
    <x v="1"/>
    <n v="7"/>
    <n v="3"/>
    <s v="Life Sciences"/>
    <n v="1"/>
    <n v="1649"/>
    <x v="3"/>
    <x v="1"/>
    <x v="32"/>
    <x v="0"/>
    <x v="1"/>
    <x v="2"/>
    <x v="3"/>
    <x v="0"/>
    <x v="1084"/>
    <x v="668"/>
    <x v="9"/>
    <s v="Y"/>
    <s v="Yes"/>
    <x v="9"/>
    <x v="0"/>
    <n v="2"/>
    <x v="0"/>
    <n v="0"/>
    <x v="1"/>
    <n v="3"/>
    <x v="0"/>
    <x v="9"/>
    <x v="3"/>
    <x v="0"/>
    <x v="6"/>
  </r>
  <r>
    <x v="11"/>
    <x v="1"/>
    <s v="Travel_Rarely"/>
    <n v="469"/>
    <x v="0"/>
    <n v="10"/>
    <n v="3"/>
    <s v="Medical"/>
    <n v="1"/>
    <n v="1650"/>
    <x v="1"/>
    <x v="1"/>
    <x v="25"/>
    <x v="1"/>
    <x v="0"/>
    <x v="0"/>
    <x v="2"/>
    <x v="0"/>
    <x v="1085"/>
    <x v="1140"/>
    <x v="3"/>
    <s v="Y"/>
    <s v="No"/>
    <x v="0"/>
    <x v="0"/>
    <n v="3"/>
    <x v="0"/>
    <n v="0"/>
    <x v="0"/>
    <n v="2"/>
    <x v="1"/>
    <x v="8"/>
    <x v="3"/>
    <x v="1"/>
    <x v="10"/>
  </r>
  <r>
    <x v="9"/>
    <x v="1"/>
    <s v="Travel_Rarely"/>
    <n v="711"/>
    <x v="1"/>
    <n v="5"/>
    <n v="4"/>
    <s v="Life Sciences"/>
    <n v="1"/>
    <n v="1651"/>
    <x v="0"/>
    <x v="0"/>
    <x v="25"/>
    <x v="0"/>
    <x v="2"/>
    <x v="4"/>
    <x v="3"/>
    <x v="1"/>
    <x v="1086"/>
    <x v="1141"/>
    <x v="5"/>
    <s v="Y"/>
    <s v="No"/>
    <x v="3"/>
    <x v="0"/>
    <n v="3"/>
    <x v="0"/>
    <n v="2"/>
    <x v="15"/>
    <n v="6"/>
    <x v="1"/>
    <x v="11"/>
    <x v="3"/>
    <x v="0"/>
    <x v="3"/>
  </r>
  <r>
    <x v="36"/>
    <x v="1"/>
    <s v="Travel_Frequently"/>
    <n v="772"/>
    <x v="1"/>
    <n v="2"/>
    <n v="1"/>
    <s v="Life Sciences"/>
    <n v="1"/>
    <n v="1653"/>
    <x v="2"/>
    <x v="1"/>
    <x v="57"/>
    <x v="2"/>
    <x v="0"/>
    <x v="3"/>
    <x v="2"/>
    <x v="2"/>
    <x v="1087"/>
    <x v="1142"/>
    <x v="1"/>
    <s v="Y"/>
    <s v="No"/>
    <x v="8"/>
    <x v="0"/>
    <n v="3"/>
    <x v="0"/>
    <n v="2"/>
    <x v="2"/>
    <n v="6"/>
    <x v="1"/>
    <x v="5"/>
    <x v="1"/>
    <x v="0"/>
    <x v="1"/>
  </r>
  <r>
    <x v="22"/>
    <x v="1"/>
    <s v="Travel_Rarely"/>
    <n v="492"/>
    <x v="1"/>
    <n v="12"/>
    <n v="3"/>
    <s v="Medical"/>
    <n v="1"/>
    <n v="1654"/>
    <x v="2"/>
    <x v="1"/>
    <x v="45"/>
    <x v="0"/>
    <x v="0"/>
    <x v="3"/>
    <x v="1"/>
    <x v="1"/>
    <x v="1088"/>
    <x v="1143"/>
    <x v="5"/>
    <s v="Y"/>
    <s v="No"/>
    <x v="7"/>
    <x v="1"/>
    <n v="3"/>
    <x v="0"/>
    <n v="0"/>
    <x v="2"/>
    <n v="3"/>
    <x v="1"/>
    <x v="8"/>
    <x v="0"/>
    <x v="1"/>
    <x v="2"/>
  </r>
  <r>
    <x v="1"/>
    <x v="1"/>
    <s v="Travel_Rarely"/>
    <n v="301"/>
    <x v="1"/>
    <n v="22"/>
    <n v="4"/>
    <s v="Other"/>
    <n v="1"/>
    <n v="1655"/>
    <x v="3"/>
    <x v="0"/>
    <x v="23"/>
    <x v="0"/>
    <x v="3"/>
    <x v="7"/>
    <x v="1"/>
    <x v="1"/>
    <x v="1089"/>
    <x v="1144"/>
    <x v="9"/>
    <s v="Y"/>
    <s v="No"/>
    <x v="10"/>
    <x v="0"/>
    <n v="2"/>
    <x v="0"/>
    <n v="2"/>
    <x v="39"/>
    <n v="2"/>
    <x v="1"/>
    <x v="9"/>
    <x v="3"/>
    <x v="1"/>
    <x v="3"/>
  </r>
  <r>
    <x v="24"/>
    <x v="1"/>
    <s v="Travel_Rarely"/>
    <n v="813"/>
    <x v="1"/>
    <n v="17"/>
    <n v="5"/>
    <s v="Life Sciences"/>
    <n v="1"/>
    <n v="1656"/>
    <x v="2"/>
    <x v="0"/>
    <x v="13"/>
    <x v="1"/>
    <x v="2"/>
    <x v="7"/>
    <x v="3"/>
    <x v="2"/>
    <x v="1090"/>
    <x v="808"/>
    <x v="6"/>
    <s v="Y"/>
    <s v="No"/>
    <x v="2"/>
    <x v="0"/>
    <n v="3"/>
    <x v="0"/>
    <n v="3"/>
    <x v="16"/>
    <n v="3"/>
    <x v="1"/>
    <x v="13"/>
    <x v="14"/>
    <x v="1"/>
    <x v="7"/>
  </r>
  <r>
    <x v="35"/>
    <x v="1"/>
    <s v="Travel_Rarely"/>
    <n v="1141"/>
    <x v="0"/>
    <n v="2"/>
    <n v="3"/>
    <s v="Medical"/>
    <n v="1"/>
    <n v="1657"/>
    <x v="1"/>
    <x v="0"/>
    <x v="11"/>
    <x v="0"/>
    <x v="1"/>
    <x v="6"/>
    <x v="2"/>
    <x v="0"/>
    <x v="1091"/>
    <x v="1145"/>
    <x v="1"/>
    <s v="Y"/>
    <s v="No"/>
    <x v="12"/>
    <x v="0"/>
    <n v="1"/>
    <x v="0"/>
    <n v="0"/>
    <x v="17"/>
    <n v="3"/>
    <x v="1"/>
    <x v="4"/>
    <x v="3"/>
    <x v="3"/>
    <x v="3"/>
  </r>
  <r>
    <x v="13"/>
    <x v="1"/>
    <s v="Travel_Rarely"/>
    <n v="1130"/>
    <x v="1"/>
    <n v="3"/>
    <n v="3"/>
    <s v="Life Sciences"/>
    <n v="1"/>
    <n v="1658"/>
    <x v="2"/>
    <x v="0"/>
    <x v="45"/>
    <x v="0"/>
    <x v="0"/>
    <x v="1"/>
    <x v="1"/>
    <x v="2"/>
    <x v="1092"/>
    <x v="1146"/>
    <x v="1"/>
    <s v="Y"/>
    <s v="No"/>
    <x v="3"/>
    <x v="0"/>
    <n v="3"/>
    <x v="0"/>
    <n v="1"/>
    <x v="27"/>
    <n v="2"/>
    <x v="1"/>
    <x v="19"/>
    <x v="6"/>
    <x v="4"/>
    <x v="12"/>
  </r>
  <r>
    <x v="9"/>
    <x v="1"/>
    <s v="Travel_Rarely"/>
    <n v="311"/>
    <x v="1"/>
    <n v="7"/>
    <n v="3"/>
    <s v="Life Sciences"/>
    <n v="1"/>
    <n v="1659"/>
    <x v="3"/>
    <x v="1"/>
    <x v="57"/>
    <x v="0"/>
    <x v="1"/>
    <x v="2"/>
    <x v="1"/>
    <x v="0"/>
    <x v="1093"/>
    <x v="1147"/>
    <x v="7"/>
    <s v="Y"/>
    <s v="No"/>
    <x v="0"/>
    <x v="0"/>
    <n v="3"/>
    <x v="0"/>
    <n v="0"/>
    <x v="20"/>
    <n v="4"/>
    <x v="1"/>
    <x v="9"/>
    <x v="7"/>
    <x v="1"/>
    <x v="6"/>
  </r>
  <r>
    <x v="1"/>
    <x v="1"/>
    <s v="Travel_Rarely"/>
    <n v="465"/>
    <x v="1"/>
    <n v="6"/>
    <n v="1"/>
    <s v="Life Sciences"/>
    <n v="1"/>
    <n v="1661"/>
    <x v="1"/>
    <x v="0"/>
    <x v="26"/>
    <x v="1"/>
    <x v="3"/>
    <x v="4"/>
    <x v="2"/>
    <x v="1"/>
    <x v="1094"/>
    <x v="257"/>
    <x v="7"/>
    <s v="Y"/>
    <s v="Yes"/>
    <x v="12"/>
    <x v="0"/>
    <n v="2"/>
    <x v="0"/>
    <n v="1"/>
    <x v="31"/>
    <n v="3"/>
    <x v="1"/>
    <x v="15"/>
    <x v="14"/>
    <x v="3"/>
    <x v="11"/>
  </r>
  <r>
    <x v="9"/>
    <x v="1"/>
    <s v="Non-Travel"/>
    <n v="894"/>
    <x v="1"/>
    <n v="1"/>
    <n v="4"/>
    <s v="Medical"/>
    <n v="1"/>
    <n v="1662"/>
    <x v="2"/>
    <x v="0"/>
    <x v="30"/>
    <x v="1"/>
    <x v="0"/>
    <x v="3"/>
    <x v="2"/>
    <x v="1"/>
    <x v="1095"/>
    <x v="1148"/>
    <x v="4"/>
    <s v="Y"/>
    <s v="No"/>
    <x v="2"/>
    <x v="0"/>
    <n v="3"/>
    <x v="0"/>
    <n v="0"/>
    <x v="21"/>
    <n v="6"/>
    <x v="1"/>
    <x v="11"/>
    <x v="3"/>
    <x v="1"/>
    <x v="3"/>
  </r>
  <r>
    <x v="9"/>
    <x v="1"/>
    <s v="Travel_Rarely"/>
    <n v="1040"/>
    <x v="1"/>
    <n v="3"/>
    <n v="2"/>
    <s v="Life Sciences"/>
    <n v="1"/>
    <n v="1664"/>
    <x v="2"/>
    <x v="1"/>
    <x v="5"/>
    <x v="2"/>
    <x v="0"/>
    <x v="4"/>
    <x v="3"/>
    <x v="2"/>
    <x v="1096"/>
    <x v="1149"/>
    <x v="2"/>
    <s v="Y"/>
    <s v="No"/>
    <x v="5"/>
    <x v="1"/>
    <n v="1"/>
    <x v="0"/>
    <n v="1"/>
    <x v="10"/>
    <n v="3"/>
    <x v="1"/>
    <x v="8"/>
    <x v="0"/>
    <x v="0"/>
    <x v="10"/>
  </r>
  <r>
    <x v="33"/>
    <x v="1"/>
    <s v="Travel_Rarely"/>
    <n v="584"/>
    <x v="1"/>
    <n v="22"/>
    <n v="5"/>
    <s v="Medical"/>
    <n v="1"/>
    <n v="1665"/>
    <x v="0"/>
    <x v="0"/>
    <x v="59"/>
    <x v="0"/>
    <x v="3"/>
    <x v="5"/>
    <x v="2"/>
    <x v="1"/>
    <x v="1097"/>
    <x v="1150"/>
    <x v="9"/>
    <s v="Y"/>
    <s v="No"/>
    <x v="14"/>
    <x v="1"/>
    <n v="3"/>
    <x v="0"/>
    <n v="1"/>
    <x v="34"/>
    <n v="6"/>
    <x v="1"/>
    <x v="1"/>
    <x v="6"/>
    <x v="5"/>
    <x v="1"/>
  </r>
  <r>
    <x v="23"/>
    <x v="1"/>
    <s v="Travel_Rarely"/>
    <n v="1291"/>
    <x v="1"/>
    <n v="15"/>
    <n v="2"/>
    <s v="Life Sciences"/>
    <n v="1"/>
    <n v="1666"/>
    <x v="1"/>
    <x v="1"/>
    <x v="63"/>
    <x v="1"/>
    <x v="3"/>
    <x v="7"/>
    <x v="2"/>
    <x v="1"/>
    <x v="1098"/>
    <x v="1151"/>
    <x v="1"/>
    <s v="Y"/>
    <s v="No"/>
    <x v="13"/>
    <x v="1"/>
    <n v="1"/>
    <x v="0"/>
    <n v="1"/>
    <x v="19"/>
    <n v="3"/>
    <x v="1"/>
    <x v="13"/>
    <x v="15"/>
    <x v="7"/>
    <x v="7"/>
  </r>
  <r>
    <x v="10"/>
    <x v="0"/>
    <s v="Travel_Frequently"/>
    <n v="880"/>
    <x v="0"/>
    <n v="12"/>
    <n v="4"/>
    <s v="Other"/>
    <n v="1"/>
    <n v="1667"/>
    <x v="2"/>
    <x v="1"/>
    <x v="34"/>
    <x v="0"/>
    <x v="0"/>
    <x v="0"/>
    <x v="0"/>
    <x v="0"/>
    <x v="1099"/>
    <x v="1152"/>
    <x v="9"/>
    <s v="Y"/>
    <s v="Yes"/>
    <x v="13"/>
    <x v="1"/>
    <n v="1"/>
    <x v="0"/>
    <n v="0"/>
    <x v="10"/>
    <n v="2"/>
    <x v="3"/>
    <x v="19"/>
    <x v="5"/>
    <x v="7"/>
    <x v="1"/>
  </r>
  <r>
    <x v="8"/>
    <x v="1"/>
    <s v="Travel_Frequently"/>
    <n v="1189"/>
    <x v="1"/>
    <n v="1"/>
    <n v="3"/>
    <s v="Life Sciences"/>
    <n v="1"/>
    <n v="1668"/>
    <x v="2"/>
    <x v="1"/>
    <x v="62"/>
    <x v="0"/>
    <x v="0"/>
    <x v="1"/>
    <x v="0"/>
    <x v="1"/>
    <x v="1100"/>
    <x v="1153"/>
    <x v="8"/>
    <s v="Y"/>
    <s v="No"/>
    <x v="2"/>
    <x v="0"/>
    <n v="4"/>
    <x v="0"/>
    <n v="2"/>
    <x v="16"/>
    <n v="4"/>
    <x v="3"/>
    <x v="20"/>
    <x v="14"/>
    <x v="3"/>
    <x v="12"/>
  </r>
  <r>
    <x v="11"/>
    <x v="1"/>
    <s v="Travel_Rarely"/>
    <n v="991"/>
    <x v="0"/>
    <n v="5"/>
    <n v="3"/>
    <s v="Medical"/>
    <n v="1"/>
    <n v="1669"/>
    <x v="3"/>
    <x v="1"/>
    <x v="38"/>
    <x v="1"/>
    <x v="0"/>
    <x v="0"/>
    <x v="1"/>
    <x v="2"/>
    <x v="1101"/>
    <x v="1154"/>
    <x v="1"/>
    <s v="Y"/>
    <s v="Yes"/>
    <x v="4"/>
    <x v="0"/>
    <n v="2"/>
    <x v="0"/>
    <n v="1"/>
    <x v="1"/>
    <n v="3"/>
    <x v="2"/>
    <x v="1"/>
    <x v="2"/>
    <x v="0"/>
    <x v="12"/>
  </r>
  <r>
    <x v="3"/>
    <x v="1"/>
    <s v="Travel_Rarely"/>
    <n v="392"/>
    <x v="0"/>
    <n v="2"/>
    <n v="4"/>
    <s v="Medical"/>
    <n v="1"/>
    <n v="1670"/>
    <x v="2"/>
    <x v="1"/>
    <x v="12"/>
    <x v="0"/>
    <x v="0"/>
    <x v="0"/>
    <x v="0"/>
    <x v="2"/>
    <x v="1102"/>
    <x v="1155"/>
    <x v="1"/>
    <s v="Y"/>
    <s v="No"/>
    <x v="9"/>
    <x v="0"/>
    <n v="3"/>
    <x v="0"/>
    <n v="2"/>
    <x v="3"/>
    <n v="5"/>
    <x v="1"/>
    <x v="0"/>
    <x v="3"/>
    <x v="0"/>
    <x v="10"/>
  </r>
  <r>
    <x v="5"/>
    <x v="1"/>
    <s v="Travel_Rarely"/>
    <n v="977"/>
    <x v="1"/>
    <n v="2"/>
    <n v="3"/>
    <s v="Medical"/>
    <n v="1"/>
    <n v="1671"/>
    <x v="2"/>
    <x v="1"/>
    <x v="18"/>
    <x v="0"/>
    <x v="0"/>
    <x v="1"/>
    <x v="1"/>
    <x v="2"/>
    <x v="1103"/>
    <x v="1156"/>
    <x v="4"/>
    <s v="Y"/>
    <s v="No"/>
    <x v="4"/>
    <x v="0"/>
    <n v="3"/>
    <x v="0"/>
    <n v="2"/>
    <x v="1"/>
    <n v="4"/>
    <x v="2"/>
    <x v="7"/>
    <x v="4"/>
    <x v="1"/>
    <x v="4"/>
  </r>
  <r>
    <x v="12"/>
    <x v="1"/>
    <s v="Travel_Rarely"/>
    <n v="1112"/>
    <x v="0"/>
    <n v="5"/>
    <n v="4"/>
    <s v="Life Sciences"/>
    <n v="1"/>
    <n v="1673"/>
    <x v="3"/>
    <x v="0"/>
    <x v="7"/>
    <x v="0"/>
    <x v="0"/>
    <x v="0"/>
    <x v="0"/>
    <x v="1"/>
    <x v="1104"/>
    <x v="1157"/>
    <x v="1"/>
    <s v="Y"/>
    <s v="No"/>
    <x v="0"/>
    <x v="0"/>
    <n v="1"/>
    <x v="0"/>
    <n v="2"/>
    <x v="1"/>
    <n v="2"/>
    <x v="1"/>
    <x v="1"/>
    <x v="2"/>
    <x v="0"/>
    <x v="3"/>
  </r>
  <r>
    <x v="1"/>
    <x v="1"/>
    <s v="Travel_Rarely"/>
    <n v="464"/>
    <x v="1"/>
    <n v="16"/>
    <n v="3"/>
    <s v="Medical"/>
    <n v="1"/>
    <n v="1674"/>
    <x v="2"/>
    <x v="0"/>
    <x v="69"/>
    <x v="0"/>
    <x v="1"/>
    <x v="2"/>
    <x v="3"/>
    <x v="2"/>
    <x v="1105"/>
    <x v="1158"/>
    <x v="5"/>
    <s v="Y"/>
    <s v="Yes"/>
    <x v="10"/>
    <x v="0"/>
    <n v="2"/>
    <x v="0"/>
    <n v="1"/>
    <x v="6"/>
    <n v="2"/>
    <x v="2"/>
    <x v="4"/>
    <x v="3"/>
    <x v="3"/>
    <x v="3"/>
  </r>
  <r>
    <x v="8"/>
    <x v="1"/>
    <s v="Travel_Frequently"/>
    <n v="148"/>
    <x v="1"/>
    <n v="2"/>
    <n v="3"/>
    <s v="Medical"/>
    <n v="1"/>
    <n v="1675"/>
    <x v="2"/>
    <x v="0"/>
    <x v="25"/>
    <x v="1"/>
    <x v="1"/>
    <x v="2"/>
    <x v="1"/>
    <x v="0"/>
    <x v="1106"/>
    <x v="1159"/>
    <x v="1"/>
    <s v="Y"/>
    <s v="No"/>
    <x v="6"/>
    <x v="1"/>
    <n v="2"/>
    <x v="0"/>
    <n v="0"/>
    <x v="21"/>
    <n v="3"/>
    <x v="1"/>
    <x v="9"/>
    <x v="7"/>
    <x v="2"/>
    <x v="6"/>
  </r>
  <r>
    <x v="40"/>
    <x v="1"/>
    <s v="Travel_Rarely"/>
    <n v="1225"/>
    <x v="0"/>
    <n v="2"/>
    <n v="4"/>
    <s v="Life Sciences"/>
    <n v="1"/>
    <n v="1676"/>
    <x v="0"/>
    <x v="0"/>
    <x v="35"/>
    <x v="2"/>
    <x v="3"/>
    <x v="5"/>
    <x v="1"/>
    <x v="2"/>
    <x v="1107"/>
    <x v="1160"/>
    <x v="2"/>
    <s v="Y"/>
    <s v="No"/>
    <x v="9"/>
    <x v="0"/>
    <n v="3"/>
    <x v="0"/>
    <n v="3"/>
    <x v="22"/>
    <n v="2"/>
    <x v="1"/>
    <x v="11"/>
    <x v="3"/>
    <x v="1"/>
    <x v="3"/>
  </r>
  <r>
    <x v="1"/>
    <x v="1"/>
    <s v="Travel_Rarely"/>
    <n v="809"/>
    <x v="1"/>
    <n v="1"/>
    <n v="3"/>
    <s v="Life Sciences"/>
    <n v="1"/>
    <n v="1677"/>
    <x v="1"/>
    <x v="1"/>
    <x v="34"/>
    <x v="0"/>
    <x v="3"/>
    <x v="5"/>
    <x v="2"/>
    <x v="0"/>
    <x v="1108"/>
    <x v="1161"/>
    <x v="5"/>
    <s v="Y"/>
    <s v="No"/>
    <x v="9"/>
    <x v="0"/>
    <n v="1"/>
    <x v="0"/>
    <n v="0"/>
    <x v="18"/>
    <n v="2"/>
    <x v="1"/>
    <x v="3"/>
    <x v="1"/>
    <x v="0"/>
    <x v="2"/>
  </r>
  <r>
    <x v="0"/>
    <x v="1"/>
    <s v="Travel_Rarely"/>
    <n v="1206"/>
    <x v="0"/>
    <n v="23"/>
    <n v="2"/>
    <s v="Life Sciences"/>
    <n v="1"/>
    <n v="1678"/>
    <x v="2"/>
    <x v="1"/>
    <x v="15"/>
    <x v="0"/>
    <x v="2"/>
    <x v="0"/>
    <x v="2"/>
    <x v="0"/>
    <x v="1109"/>
    <x v="871"/>
    <x v="9"/>
    <s v="Y"/>
    <s v="Yes"/>
    <x v="10"/>
    <x v="0"/>
    <n v="4"/>
    <x v="0"/>
    <n v="0"/>
    <x v="24"/>
    <n v="2"/>
    <x v="1"/>
    <x v="4"/>
    <x v="2"/>
    <x v="0"/>
    <x v="3"/>
  </r>
  <r>
    <x v="35"/>
    <x v="1"/>
    <s v="Travel_Rarely"/>
    <n v="727"/>
    <x v="0"/>
    <n v="9"/>
    <n v="1"/>
    <s v="Life Sciences"/>
    <n v="1"/>
    <n v="1680"/>
    <x v="2"/>
    <x v="1"/>
    <x v="60"/>
    <x v="0"/>
    <x v="1"/>
    <x v="6"/>
    <x v="3"/>
    <x v="0"/>
    <x v="1110"/>
    <x v="1162"/>
    <x v="1"/>
    <s v="Y"/>
    <s v="No"/>
    <x v="0"/>
    <x v="0"/>
    <n v="1"/>
    <x v="0"/>
    <n v="0"/>
    <x v="17"/>
    <n v="3"/>
    <x v="1"/>
    <x v="4"/>
    <x v="3"/>
    <x v="0"/>
    <x v="3"/>
  </r>
  <r>
    <x v="3"/>
    <x v="1"/>
    <s v="Non-Travel"/>
    <n v="530"/>
    <x v="0"/>
    <n v="16"/>
    <n v="3"/>
    <s v="Life Sciences"/>
    <n v="1"/>
    <n v="1681"/>
    <x v="1"/>
    <x v="0"/>
    <x v="34"/>
    <x v="0"/>
    <x v="0"/>
    <x v="0"/>
    <x v="0"/>
    <x v="2"/>
    <x v="1111"/>
    <x v="1163"/>
    <x v="1"/>
    <s v="Y"/>
    <s v="Yes"/>
    <x v="14"/>
    <x v="1"/>
    <n v="3"/>
    <x v="0"/>
    <n v="1"/>
    <x v="2"/>
    <n v="2"/>
    <x v="1"/>
    <x v="0"/>
    <x v="4"/>
    <x v="1"/>
    <x v="3"/>
  </r>
  <r>
    <x v="9"/>
    <x v="1"/>
    <s v="Travel_Rarely"/>
    <n v="1351"/>
    <x v="1"/>
    <n v="26"/>
    <n v="4"/>
    <s v="Life Sciences"/>
    <n v="1"/>
    <n v="1682"/>
    <x v="3"/>
    <x v="1"/>
    <x v="15"/>
    <x v="0"/>
    <x v="0"/>
    <x v="4"/>
    <x v="2"/>
    <x v="1"/>
    <x v="1112"/>
    <x v="1164"/>
    <x v="2"/>
    <s v="Y"/>
    <s v="No"/>
    <x v="9"/>
    <x v="0"/>
    <n v="2"/>
    <x v="0"/>
    <n v="2"/>
    <x v="1"/>
    <n v="2"/>
    <x v="2"/>
    <x v="11"/>
    <x v="3"/>
    <x v="0"/>
    <x v="3"/>
  </r>
  <r>
    <x v="20"/>
    <x v="1"/>
    <s v="Travel_Rarely"/>
    <n v="528"/>
    <x v="2"/>
    <n v="1"/>
    <n v="3"/>
    <s v="Life Sciences"/>
    <n v="1"/>
    <n v="1683"/>
    <x v="1"/>
    <x v="0"/>
    <x v="8"/>
    <x v="0"/>
    <x v="1"/>
    <x v="8"/>
    <x v="0"/>
    <x v="2"/>
    <x v="1113"/>
    <x v="1165"/>
    <x v="5"/>
    <s v="Y"/>
    <s v="Yes"/>
    <x v="11"/>
    <x v="0"/>
    <n v="1"/>
    <x v="0"/>
    <n v="3"/>
    <x v="0"/>
    <n v="2"/>
    <x v="1"/>
    <x v="4"/>
    <x v="3"/>
    <x v="3"/>
    <x v="3"/>
  </r>
  <r>
    <x v="30"/>
    <x v="0"/>
    <s v="Travel_Rarely"/>
    <n v="1320"/>
    <x v="1"/>
    <n v="8"/>
    <n v="1"/>
    <s v="Medical"/>
    <n v="1"/>
    <n v="1684"/>
    <x v="2"/>
    <x v="1"/>
    <x v="12"/>
    <x v="1"/>
    <x v="1"/>
    <x v="2"/>
    <x v="2"/>
    <x v="0"/>
    <x v="1114"/>
    <x v="1166"/>
    <x v="1"/>
    <s v="Y"/>
    <s v="Yes"/>
    <x v="0"/>
    <x v="0"/>
    <n v="1"/>
    <x v="0"/>
    <n v="0"/>
    <x v="7"/>
    <n v="2"/>
    <x v="1"/>
    <x v="8"/>
    <x v="0"/>
    <x v="1"/>
    <x v="3"/>
  </r>
  <r>
    <x v="8"/>
    <x v="1"/>
    <s v="Travel_Rarely"/>
    <n v="1495"/>
    <x v="1"/>
    <n v="4"/>
    <n v="2"/>
    <s v="Medical"/>
    <n v="1"/>
    <n v="1687"/>
    <x v="2"/>
    <x v="0"/>
    <x v="44"/>
    <x v="0"/>
    <x v="1"/>
    <x v="2"/>
    <x v="2"/>
    <x v="1"/>
    <x v="1115"/>
    <x v="1167"/>
    <x v="8"/>
    <s v="Y"/>
    <s v="No"/>
    <x v="12"/>
    <x v="0"/>
    <n v="4"/>
    <x v="0"/>
    <n v="1"/>
    <x v="2"/>
    <n v="5"/>
    <x v="2"/>
    <x v="2"/>
    <x v="2"/>
    <x v="0"/>
    <x v="2"/>
  </r>
  <r>
    <x v="16"/>
    <x v="1"/>
    <s v="Travel_Rarely"/>
    <n v="1395"/>
    <x v="1"/>
    <n v="24"/>
    <n v="4"/>
    <s v="Medical"/>
    <n v="1"/>
    <n v="1689"/>
    <x v="0"/>
    <x v="1"/>
    <x v="24"/>
    <x v="2"/>
    <x v="2"/>
    <x v="4"/>
    <x v="0"/>
    <x v="1"/>
    <x v="1116"/>
    <x v="1168"/>
    <x v="9"/>
    <s v="Y"/>
    <s v="No"/>
    <x v="2"/>
    <x v="0"/>
    <n v="3"/>
    <x v="0"/>
    <n v="0"/>
    <x v="27"/>
    <n v="2"/>
    <x v="1"/>
    <x v="9"/>
    <x v="7"/>
    <x v="1"/>
    <x v="3"/>
  </r>
  <r>
    <x v="26"/>
    <x v="0"/>
    <s v="Travel_Frequently"/>
    <n v="708"/>
    <x v="0"/>
    <n v="7"/>
    <n v="2"/>
    <s v="Medical"/>
    <n v="1"/>
    <n v="1691"/>
    <x v="2"/>
    <x v="0"/>
    <x v="41"/>
    <x v="0"/>
    <x v="1"/>
    <x v="6"/>
    <x v="2"/>
    <x v="1"/>
    <x v="1117"/>
    <x v="1169"/>
    <x v="7"/>
    <s v="Y"/>
    <s v="Yes"/>
    <x v="0"/>
    <x v="0"/>
    <n v="3"/>
    <x v="0"/>
    <n v="2"/>
    <x v="16"/>
    <n v="3"/>
    <x v="1"/>
    <x v="7"/>
    <x v="1"/>
    <x v="4"/>
    <x v="1"/>
  </r>
  <r>
    <x v="5"/>
    <x v="0"/>
    <s v="Travel_Rarely"/>
    <n v="1259"/>
    <x v="1"/>
    <n v="2"/>
    <n v="4"/>
    <s v="Life Sciences"/>
    <n v="1"/>
    <n v="1692"/>
    <x v="2"/>
    <x v="1"/>
    <x v="41"/>
    <x v="0"/>
    <x v="1"/>
    <x v="2"/>
    <x v="1"/>
    <x v="0"/>
    <x v="1118"/>
    <x v="1170"/>
    <x v="1"/>
    <s v="Y"/>
    <s v="No"/>
    <x v="3"/>
    <x v="0"/>
    <n v="1"/>
    <x v="0"/>
    <n v="0"/>
    <x v="5"/>
    <n v="2"/>
    <x v="1"/>
    <x v="6"/>
    <x v="2"/>
    <x v="0"/>
    <x v="2"/>
  </r>
  <r>
    <x v="25"/>
    <x v="1"/>
    <s v="Non-Travel"/>
    <n v="786"/>
    <x v="1"/>
    <n v="7"/>
    <n v="3"/>
    <s v="Medical"/>
    <n v="1"/>
    <n v="1693"/>
    <x v="2"/>
    <x v="1"/>
    <x v="43"/>
    <x v="0"/>
    <x v="1"/>
    <x v="2"/>
    <x v="0"/>
    <x v="0"/>
    <x v="1119"/>
    <x v="1171"/>
    <x v="1"/>
    <s v="Y"/>
    <s v="No"/>
    <x v="5"/>
    <x v="1"/>
    <n v="3"/>
    <x v="0"/>
    <n v="0"/>
    <x v="2"/>
    <n v="5"/>
    <x v="1"/>
    <x v="5"/>
    <x v="1"/>
    <x v="8"/>
    <x v="1"/>
  </r>
  <r>
    <x v="27"/>
    <x v="1"/>
    <s v="Travel_Rarely"/>
    <n v="1441"/>
    <x v="1"/>
    <n v="22"/>
    <n v="3"/>
    <s v="Technical Degree"/>
    <n v="1"/>
    <n v="1694"/>
    <x v="3"/>
    <x v="1"/>
    <x v="0"/>
    <x v="1"/>
    <x v="1"/>
    <x v="1"/>
    <x v="1"/>
    <x v="2"/>
    <x v="1120"/>
    <x v="1172"/>
    <x v="6"/>
    <s v="Y"/>
    <s v="No"/>
    <x v="3"/>
    <x v="0"/>
    <n v="4"/>
    <x v="0"/>
    <n v="1"/>
    <x v="0"/>
    <n v="1"/>
    <x v="1"/>
    <x v="9"/>
    <x v="3"/>
    <x v="1"/>
    <x v="3"/>
  </r>
  <r>
    <x v="13"/>
    <x v="1"/>
    <s v="Travel_Rarely"/>
    <n v="1157"/>
    <x v="1"/>
    <n v="5"/>
    <n v="2"/>
    <s v="Medical"/>
    <n v="1"/>
    <n v="1696"/>
    <x v="0"/>
    <x v="1"/>
    <x v="42"/>
    <x v="1"/>
    <x v="0"/>
    <x v="2"/>
    <x v="0"/>
    <x v="1"/>
    <x v="1121"/>
    <x v="1173"/>
    <x v="1"/>
    <s v="Y"/>
    <s v="No"/>
    <x v="9"/>
    <x v="0"/>
    <n v="3"/>
    <x v="0"/>
    <n v="1"/>
    <x v="20"/>
    <n v="3"/>
    <x v="3"/>
    <x v="15"/>
    <x v="15"/>
    <x v="5"/>
    <x v="15"/>
  </r>
  <r>
    <x v="42"/>
    <x v="1"/>
    <s v="Travel_Rarely"/>
    <n v="370"/>
    <x v="1"/>
    <n v="1"/>
    <n v="4"/>
    <s v="Medical"/>
    <n v="1"/>
    <n v="1697"/>
    <x v="1"/>
    <x v="1"/>
    <x v="2"/>
    <x v="3"/>
    <x v="2"/>
    <x v="4"/>
    <x v="0"/>
    <x v="2"/>
    <x v="1122"/>
    <x v="1174"/>
    <x v="9"/>
    <s v="Y"/>
    <s v="No"/>
    <x v="5"/>
    <x v="1"/>
    <n v="3"/>
    <x v="0"/>
    <n v="1"/>
    <x v="16"/>
    <n v="2"/>
    <x v="3"/>
    <x v="6"/>
    <x v="2"/>
    <x v="0"/>
    <x v="2"/>
  </r>
  <r>
    <x v="3"/>
    <x v="1"/>
    <s v="Travel_Rarely"/>
    <n v="267"/>
    <x v="1"/>
    <n v="21"/>
    <n v="3"/>
    <s v="Medical"/>
    <n v="1"/>
    <n v="1698"/>
    <x v="0"/>
    <x v="1"/>
    <x v="5"/>
    <x v="2"/>
    <x v="1"/>
    <x v="2"/>
    <x v="1"/>
    <x v="1"/>
    <x v="14"/>
    <x v="1175"/>
    <x v="1"/>
    <s v="Y"/>
    <s v="No"/>
    <x v="11"/>
    <x v="0"/>
    <n v="4"/>
    <x v="0"/>
    <n v="3"/>
    <x v="19"/>
    <n v="6"/>
    <x v="1"/>
    <x v="13"/>
    <x v="14"/>
    <x v="3"/>
    <x v="15"/>
  </r>
  <r>
    <x v="2"/>
    <x v="1"/>
    <s v="Travel_Frequently"/>
    <n v="1278"/>
    <x v="0"/>
    <n v="1"/>
    <n v="4"/>
    <s v="Medical"/>
    <n v="1"/>
    <n v="1700"/>
    <x v="1"/>
    <x v="1"/>
    <x v="11"/>
    <x v="3"/>
    <x v="0"/>
    <x v="0"/>
    <x v="0"/>
    <x v="2"/>
    <x v="1123"/>
    <x v="1176"/>
    <x v="1"/>
    <s v="Y"/>
    <s v="No"/>
    <x v="9"/>
    <x v="0"/>
    <n v="3"/>
    <x v="0"/>
    <n v="2"/>
    <x v="3"/>
    <n v="2"/>
    <x v="2"/>
    <x v="0"/>
    <x v="7"/>
    <x v="1"/>
    <x v="6"/>
  </r>
  <r>
    <x v="13"/>
    <x v="1"/>
    <s v="Travel_Rarely"/>
    <n v="678"/>
    <x v="1"/>
    <n v="19"/>
    <n v="3"/>
    <s v="Life Sciences"/>
    <n v="1"/>
    <n v="1701"/>
    <x v="0"/>
    <x v="0"/>
    <x v="58"/>
    <x v="1"/>
    <x v="1"/>
    <x v="1"/>
    <x v="0"/>
    <x v="1"/>
    <x v="1124"/>
    <x v="1177"/>
    <x v="1"/>
    <s v="Y"/>
    <s v="No"/>
    <x v="3"/>
    <x v="0"/>
    <n v="2"/>
    <x v="0"/>
    <n v="0"/>
    <x v="1"/>
    <n v="3"/>
    <x v="1"/>
    <x v="1"/>
    <x v="5"/>
    <x v="6"/>
    <x v="1"/>
  </r>
  <r>
    <x v="30"/>
    <x v="0"/>
    <s v="Travel_Rarely"/>
    <n v="427"/>
    <x v="0"/>
    <n v="7"/>
    <n v="3"/>
    <s v="Life Sciences"/>
    <n v="1"/>
    <n v="1702"/>
    <x v="1"/>
    <x v="1"/>
    <x v="39"/>
    <x v="0"/>
    <x v="1"/>
    <x v="6"/>
    <x v="0"/>
    <x v="2"/>
    <x v="1125"/>
    <x v="1178"/>
    <x v="1"/>
    <s v="Y"/>
    <s v="Yes"/>
    <x v="7"/>
    <x v="1"/>
    <n v="2"/>
    <x v="0"/>
    <n v="1"/>
    <x v="8"/>
    <n v="2"/>
    <x v="1"/>
    <x v="11"/>
    <x v="3"/>
    <x v="0"/>
    <x v="3"/>
  </r>
  <r>
    <x v="20"/>
    <x v="1"/>
    <s v="Travel_Rarely"/>
    <n v="921"/>
    <x v="1"/>
    <n v="2"/>
    <n v="3"/>
    <s v="Life Sciences"/>
    <n v="1"/>
    <n v="1703"/>
    <x v="1"/>
    <x v="0"/>
    <x v="16"/>
    <x v="2"/>
    <x v="2"/>
    <x v="4"/>
    <x v="0"/>
    <x v="1"/>
    <x v="1126"/>
    <x v="1179"/>
    <x v="1"/>
    <s v="Y"/>
    <s v="Yes"/>
    <x v="12"/>
    <x v="0"/>
    <n v="2"/>
    <x v="0"/>
    <n v="1"/>
    <x v="15"/>
    <n v="2"/>
    <x v="1"/>
    <x v="3"/>
    <x v="1"/>
    <x v="7"/>
    <x v="1"/>
  </r>
  <r>
    <x v="10"/>
    <x v="1"/>
    <s v="Travel_Frequently"/>
    <n v="146"/>
    <x v="1"/>
    <n v="2"/>
    <n v="4"/>
    <s v="Medical"/>
    <n v="1"/>
    <n v="1704"/>
    <x v="3"/>
    <x v="1"/>
    <x v="5"/>
    <x v="1"/>
    <x v="1"/>
    <x v="1"/>
    <x v="0"/>
    <x v="0"/>
    <x v="1127"/>
    <x v="1180"/>
    <x v="4"/>
    <s v="Y"/>
    <s v="Yes"/>
    <x v="9"/>
    <x v="0"/>
    <n v="3"/>
    <x v="0"/>
    <n v="0"/>
    <x v="3"/>
    <n v="2"/>
    <x v="3"/>
    <x v="8"/>
    <x v="0"/>
    <x v="1"/>
    <x v="10"/>
  </r>
  <r>
    <x v="23"/>
    <x v="1"/>
    <s v="Travel_Rarely"/>
    <n v="1179"/>
    <x v="0"/>
    <n v="2"/>
    <n v="3"/>
    <s v="Medical"/>
    <n v="1"/>
    <n v="1706"/>
    <x v="2"/>
    <x v="1"/>
    <x v="32"/>
    <x v="0"/>
    <x v="0"/>
    <x v="0"/>
    <x v="0"/>
    <x v="1"/>
    <x v="1128"/>
    <x v="352"/>
    <x v="1"/>
    <s v="Y"/>
    <s v="Yes"/>
    <x v="8"/>
    <x v="0"/>
    <n v="1"/>
    <x v="0"/>
    <n v="1"/>
    <x v="1"/>
    <n v="3"/>
    <x v="1"/>
    <x v="1"/>
    <x v="5"/>
    <x v="6"/>
    <x v="5"/>
  </r>
  <r>
    <x v="17"/>
    <x v="1"/>
    <s v="Travel_Rarely"/>
    <n v="581"/>
    <x v="1"/>
    <n v="9"/>
    <n v="3"/>
    <s v="Medical"/>
    <n v="1"/>
    <n v="1707"/>
    <x v="1"/>
    <x v="1"/>
    <x v="50"/>
    <x v="2"/>
    <x v="1"/>
    <x v="1"/>
    <x v="2"/>
    <x v="1"/>
    <x v="1129"/>
    <x v="1181"/>
    <x v="1"/>
    <s v="Y"/>
    <s v="No"/>
    <x v="10"/>
    <x v="0"/>
    <n v="4"/>
    <x v="0"/>
    <n v="1"/>
    <x v="7"/>
    <n v="1"/>
    <x v="1"/>
    <x v="8"/>
    <x v="7"/>
    <x v="0"/>
    <x v="10"/>
  </r>
  <r>
    <x v="0"/>
    <x v="1"/>
    <s v="Travel_Rarely"/>
    <n v="918"/>
    <x v="0"/>
    <n v="6"/>
    <n v="3"/>
    <s v="Marketing"/>
    <n v="1"/>
    <n v="1708"/>
    <x v="2"/>
    <x v="1"/>
    <x v="58"/>
    <x v="0"/>
    <x v="2"/>
    <x v="0"/>
    <x v="2"/>
    <x v="0"/>
    <x v="1130"/>
    <x v="1182"/>
    <x v="1"/>
    <s v="Y"/>
    <s v="No"/>
    <x v="3"/>
    <x v="0"/>
    <n v="2"/>
    <x v="0"/>
    <n v="0"/>
    <x v="1"/>
    <n v="3"/>
    <x v="1"/>
    <x v="1"/>
    <x v="6"/>
    <x v="6"/>
    <x v="1"/>
  </r>
  <r>
    <x v="11"/>
    <x v="1"/>
    <s v="Travel_Rarely"/>
    <n v="1082"/>
    <x v="1"/>
    <n v="9"/>
    <n v="4"/>
    <s v="Medical"/>
    <n v="1"/>
    <n v="1709"/>
    <x v="2"/>
    <x v="0"/>
    <x v="38"/>
    <x v="0"/>
    <x v="1"/>
    <x v="2"/>
    <x v="2"/>
    <x v="1"/>
    <x v="1131"/>
    <x v="1183"/>
    <x v="3"/>
    <s v="Y"/>
    <s v="No"/>
    <x v="8"/>
    <x v="0"/>
    <n v="3"/>
    <x v="0"/>
    <n v="1"/>
    <x v="15"/>
    <n v="2"/>
    <x v="1"/>
    <x v="8"/>
    <x v="7"/>
    <x v="1"/>
    <x v="3"/>
  </r>
  <r>
    <x v="9"/>
    <x v="1"/>
    <s v="Travel_Rarely"/>
    <n v="530"/>
    <x v="0"/>
    <n v="2"/>
    <n v="4"/>
    <s v="Life Sciences"/>
    <n v="1"/>
    <n v="1710"/>
    <x v="1"/>
    <x v="0"/>
    <x v="14"/>
    <x v="0"/>
    <x v="0"/>
    <x v="6"/>
    <x v="0"/>
    <x v="0"/>
    <x v="1132"/>
    <x v="1184"/>
    <x v="9"/>
    <s v="Y"/>
    <s v="No"/>
    <x v="2"/>
    <x v="0"/>
    <n v="3"/>
    <x v="0"/>
    <n v="0"/>
    <x v="6"/>
    <n v="2"/>
    <x v="2"/>
    <x v="20"/>
    <x v="1"/>
    <x v="7"/>
    <x v="1"/>
  </r>
  <r>
    <x v="28"/>
    <x v="1"/>
    <s v="Non-Travel"/>
    <n v="1238"/>
    <x v="1"/>
    <n v="1"/>
    <n v="1"/>
    <s v="Life Sciences"/>
    <n v="1"/>
    <n v="1712"/>
    <x v="1"/>
    <x v="1"/>
    <x v="69"/>
    <x v="1"/>
    <x v="2"/>
    <x v="4"/>
    <x v="2"/>
    <x v="1"/>
    <x v="1133"/>
    <x v="1185"/>
    <x v="9"/>
    <s v="Y"/>
    <s v="No"/>
    <x v="1"/>
    <x v="1"/>
    <n v="4"/>
    <x v="0"/>
    <n v="1"/>
    <x v="25"/>
    <n v="3"/>
    <x v="2"/>
    <x v="36"/>
    <x v="11"/>
    <x v="15"/>
    <x v="10"/>
  </r>
  <r>
    <x v="17"/>
    <x v="0"/>
    <s v="Travel_Rarely"/>
    <n v="240"/>
    <x v="2"/>
    <n v="22"/>
    <n v="1"/>
    <s v="Human Resources"/>
    <n v="1"/>
    <n v="1714"/>
    <x v="2"/>
    <x v="1"/>
    <x v="22"/>
    <x v="3"/>
    <x v="1"/>
    <x v="8"/>
    <x v="2"/>
    <x v="1"/>
    <x v="1134"/>
    <x v="1186"/>
    <x v="1"/>
    <s v="Y"/>
    <s v="No"/>
    <x v="0"/>
    <x v="0"/>
    <n v="3"/>
    <x v="0"/>
    <n v="1"/>
    <x v="5"/>
    <n v="2"/>
    <x v="1"/>
    <x v="6"/>
    <x v="2"/>
    <x v="0"/>
    <x v="2"/>
  </r>
  <r>
    <x v="40"/>
    <x v="0"/>
    <s v="Travel_Frequently"/>
    <n v="1093"/>
    <x v="0"/>
    <n v="9"/>
    <n v="3"/>
    <s v="Life Sciences"/>
    <n v="1"/>
    <n v="1716"/>
    <x v="1"/>
    <x v="1"/>
    <x v="19"/>
    <x v="3"/>
    <x v="3"/>
    <x v="0"/>
    <x v="2"/>
    <x v="1"/>
    <x v="1135"/>
    <x v="1187"/>
    <x v="8"/>
    <s v="Y"/>
    <s v="No"/>
    <x v="0"/>
    <x v="0"/>
    <n v="3"/>
    <x v="0"/>
    <n v="0"/>
    <x v="25"/>
    <n v="3"/>
    <x v="0"/>
    <x v="36"/>
    <x v="4"/>
    <x v="15"/>
    <x v="13"/>
  </r>
  <r>
    <x v="25"/>
    <x v="1"/>
    <s v="Travel_Rarely"/>
    <n v="390"/>
    <x v="1"/>
    <n v="17"/>
    <n v="4"/>
    <s v="Medical"/>
    <n v="1"/>
    <n v="1718"/>
    <x v="2"/>
    <x v="1"/>
    <x v="50"/>
    <x v="3"/>
    <x v="1"/>
    <x v="2"/>
    <x v="2"/>
    <x v="1"/>
    <x v="1136"/>
    <x v="1188"/>
    <x v="1"/>
    <s v="Y"/>
    <s v="No"/>
    <x v="2"/>
    <x v="0"/>
    <n v="3"/>
    <x v="0"/>
    <n v="3"/>
    <x v="8"/>
    <n v="3"/>
    <x v="3"/>
    <x v="11"/>
    <x v="3"/>
    <x v="0"/>
    <x v="3"/>
  </r>
  <r>
    <x v="28"/>
    <x v="1"/>
    <s v="Travel_Rarely"/>
    <n v="1005"/>
    <x v="1"/>
    <n v="28"/>
    <n v="2"/>
    <s v="Technical Degree"/>
    <n v="1"/>
    <n v="1719"/>
    <x v="2"/>
    <x v="0"/>
    <x v="24"/>
    <x v="1"/>
    <x v="3"/>
    <x v="7"/>
    <x v="1"/>
    <x v="0"/>
    <x v="1137"/>
    <x v="1189"/>
    <x v="1"/>
    <s v="Y"/>
    <s v="No"/>
    <x v="0"/>
    <x v="0"/>
    <n v="3"/>
    <x v="0"/>
    <n v="0"/>
    <x v="24"/>
    <n v="2"/>
    <x v="1"/>
    <x v="17"/>
    <x v="8"/>
    <x v="6"/>
    <x v="4"/>
  </r>
  <r>
    <x v="5"/>
    <x v="1"/>
    <s v="Travel_Frequently"/>
    <n v="585"/>
    <x v="1"/>
    <n v="10"/>
    <n v="3"/>
    <s v="Life Sciences"/>
    <n v="1"/>
    <n v="1720"/>
    <x v="3"/>
    <x v="1"/>
    <x v="3"/>
    <x v="0"/>
    <x v="1"/>
    <x v="1"/>
    <x v="2"/>
    <x v="1"/>
    <x v="1138"/>
    <x v="1190"/>
    <x v="2"/>
    <s v="Y"/>
    <s v="No"/>
    <x v="4"/>
    <x v="0"/>
    <n v="1"/>
    <x v="0"/>
    <n v="1"/>
    <x v="1"/>
    <n v="3"/>
    <x v="2"/>
    <x v="8"/>
    <x v="3"/>
    <x v="1"/>
    <x v="6"/>
  </r>
  <r>
    <x v="12"/>
    <x v="1"/>
    <s v="Travel_Rarely"/>
    <n v="741"/>
    <x v="1"/>
    <n v="2"/>
    <n v="4"/>
    <s v="Life Sciences"/>
    <n v="1"/>
    <n v="1721"/>
    <x v="0"/>
    <x v="1"/>
    <x v="68"/>
    <x v="0"/>
    <x v="1"/>
    <x v="2"/>
    <x v="2"/>
    <x v="1"/>
    <x v="1139"/>
    <x v="1191"/>
    <x v="1"/>
    <s v="Y"/>
    <s v="No"/>
    <x v="9"/>
    <x v="0"/>
    <n v="4"/>
    <x v="0"/>
    <n v="1"/>
    <x v="3"/>
    <n v="2"/>
    <x v="3"/>
    <x v="8"/>
    <x v="3"/>
    <x v="0"/>
    <x v="6"/>
  </r>
  <r>
    <x v="0"/>
    <x v="1"/>
    <s v="Non-Travel"/>
    <n v="552"/>
    <x v="2"/>
    <n v="4"/>
    <n v="3"/>
    <s v="Human Resources"/>
    <n v="1"/>
    <n v="1722"/>
    <x v="1"/>
    <x v="1"/>
    <x v="53"/>
    <x v="3"/>
    <x v="0"/>
    <x v="8"/>
    <x v="1"/>
    <x v="1"/>
    <x v="1140"/>
    <x v="1192"/>
    <x v="2"/>
    <s v="Y"/>
    <s v="No"/>
    <x v="12"/>
    <x v="0"/>
    <n v="2"/>
    <x v="0"/>
    <n v="1"/>
    <x v="1"/>
    <n v="4"/>
    <x v="1"/>
    <x v="11"/>
    <x v="3"/>
    <x v="1"/>
    <x v="3"/>
  </r>
  <r>
    <x v="32"/>
    <x v="1"/>
    <s v="Travel_Rarely"/>
    <n v="369"/>
    <x v="1"/>
    <n v="8"/>
    <n v="2"/>
    <s v="Life Sciences"/>
    <n v="1"/>
    <n v="1724"/>
    <x v="0"/>
    <x v="0"/>
    <x v="2"/>
    <x v="0"/>
    <x v="0"/>
    <x v="3"/>
    <x v="3"/>
    <x v="1"/>
    <x v="1141"/>
    <x v="1193"/>
    <x v="7"/>
    <s v="Y"/>
    <s v="Yes"/>
    <x v="10"/>
    <x v="0"/>
    <n v="2"/>
    <x v="0"/>
    <n v="1"/>
    <x v="33"/>
    <n v="3"/>
    <x v="1"/>
    <x v="6"/>
    <x v="2"/>
    <x v="0"/>
    <x v="2"/>
  </r>
  <r>
    <x v="17"/>
    <x v="1"/>
    <s v="Travel_Rarely"/>
    <n v="506"/>
    <x v="1"/>
    <n v="29"/>
    <n v="1"/>
    <s v="Medical"/>
    <n v="1"/>
    <n v="1725"/>
    <x v="0"/>
    <x v="1"/>
    <x v="59"/>
    <x v="0"/>
    <x v="1"/>
    <x v="2"/>
    <x v="3"/>
    <x v="2"/>
    <x v="1142"/>
    <x v="1194"/>
    <x v="1"/>
    <s v="Y"/>
    <s v="No"/>
    <x v="4"/>
    <x v="0"/>
    <n v="2"/>
    <x v="0"/>
    <n v="3"/>
    <x v="3"/>
    <n v="2"/>
    <x v="3"/>
    <x v="0"/>
    <x v="3"/>
    <x v="1"/>
    <x v="3"/>
  </r>
  <r>
    <x v="21"/>
    <x v="1"/>
    <s v="Travel_Rarely"/>
    <n v="717"/>
    <x v="1"/>
    <n v="13"/>
    <n v="4"/>
    <s v="Life Sciences"/>
    <n v="1"/>
    <n v="1727"/>
    <x v="1"/>
    <x v="1"/>
    <x v="61"/>
    <x v="0"/>
    <x v="0"/>
    <x v="4"/>
    <x v="1"/>
    <x v="0"/>
    <x v="622"/>
    <x v="1195"/>
    <x v="2"/>
    <s v="Y"/>
    <s v="No"/>
    <x v="9"/>
    <x v="0"/>
    <n v="4"/>
    <x v="0"/>
    <n v="0"/>
    <x v="16"/>
    <n v="3"/>
    <x v="1"/>
    <x v="1"/>
    <x v="1"/>
    <x v="0"/>
    <x v="12"/>
  </r>
  <r>
    <x v="10"/>
    <x v="1"/>
    <s v="Travel_Rarely"/>
    <n v="1370"/>
    <x v="1"/>
    <n v="27"/>
    <n v="4"/>
    <s v="Life Sciences"/>
    <n v="1"/>
    <n v="1728"/>
    <x v="2"/>
    <x v="1"/>
    <x v="10"/>
    <x v="0"/>
    <x v="0"/>
    <x v="3"/>
    <x v="2"/>
    <x v="1"/>
    <x v="1143"/>
    <x v="1196"/>
    <x v="7"/>
    <s v="Y"/>
    <s v="No"/>
    <x v="10"/>
    <x v="0"/>
    <n v="2"/>
    <x v="0"/>
    <n v="1"/>
    <x v="6"/>
    <n v="3"/>
    <x v="1"/>
    <x v="5"/>
    <x v="1"/>
    <x v="0"/>
    <x v="1"/>
  </r>
  <r>
    <x v="7"/>
    <x v="1"/>
    <s v="Travel_Rarely"/>
    <n v="793"/>
    <x v="1"/>
    <n v="16"/>
    <n v="1"/>
    <s v="Life Sciences"/>
    <n v="1"/>
    <n v="1729"/>
    <x v="0"/>
    <x v="1"/>
    <x v="30"/>
    <x v="0"/>
    <x v="1"/>
    <x v="1"/>
    <x v="0"/>
    <x v="1"/>
    <x v="1144"/>
    <x v="1197"/>
    <x v="1"/>
    <s v="Y"/>
    <s v="No"/>
    <x v="3"/>
    <x v="0"/>
    <n v="2"/>
    <x v="0"/>
    <n v="1"/>
    <x v="1"/>
    <n v="2"/>
    <x v="2"/>
    <x v="1"/>
    <x v="2"/>
    <x v="0"/>
    <x v="5"/>
  </r>
  <r>
    <x v="40"/>
    <x v="1"/>
    <s v="Non-Travel"/>
    <n v="543"/>
    <x v="0"/>
    <n v="2"/>
    <n v="4"/>
    <s v="Marketing"/>
    <n v="1"/>
    <n v="1731"/>
    <x v="1"/>
    <x v="1"/>
    <x v="44"/>
    <x v="0"/>
    <x v="0"/>
    <x v="0"/>
    <x v="1"/>
    <x v="1"/>
    <x v="1145"/>
    <x v="1198"/>
    <x v="8"/>
    <s v="Y"/>
    <s v="No"/>
    <x v="0"/>
    <x v="0"/>
    <n v="4"/>
    <x v="0"/>
    <n v="1"/>
    <x v="21"/>
    <n v="3"/>
    <x v="0"/>
    <x v="6"/>
    <x v="2"/>
    <x v="0"/>
    <x v="2"/>
  </r>
  <r>
    <x v="21"/>
    <x v="1"/>
    <s v="Travel_Rarely"/>
    <n v="1277"/>
    <x v="0"/>
    <n v="2"/>
    <n v="3"/>
    <s v="Life Sciences"/>
    <n v="1"/>
    <n v="1732"/>
    <x v="1"/>
    <x v="1"/>
    <x v="69"/>
    <x v="0"/>
    <x v="2"/>
    <x v="0"/>
    <x v="0"/>
    <x v="2"/>
    <x v="1146"/>
    <x v="1199"/>
    <x v="5"/>
    <s v="Y"/>
    <s v="Yes"/>
    <x v="3"/>
    <x v="0"/>
    <n v="2"/>
    <x v="0"/>
    <n v="1"/>
    <x v="10"/>
    <n v="5"/>
    <x v="2"/>
    <x v="1"/>
    <x v="8"/>
    <x v="0"/>
    <x v="6"/>
  </r>
  <r>
    <x v="9"/>
    <x v="0"/>
    <s v="Travel_Rarely"/>
    <n v="1456"/>
    <x v="0"/>
    <n v="13"/>
    <n v="5"/>
    <s v="Marketing"/>
    <n v="1"/>
    <n v="1733"/>
    <x v="0"/>
    <x v="1"/>
    <x v="16"/>
    <x v="1"/>
    <x v="0"/>
    <x v="0"/>
    <x v="3"/>
    <x v="2"/>
    <x v="1147"/>
    <x v="1200"/>
    <x v="6"/>
    <s v="Y"/>
    <s v="Yes"/>
    <x v="4"/>
    <x v="0"/>
    <n v="2"/>
    <x v="0"/>
    <n v="3"/>
    <x v="28"/>
    <n v="3"/>
    <x v="1"/>
    <x v="4"/>
    <x v="3"/>
    <x v="3"/>
    <x v="3"/>
  </r>
  <r>
    <x v="5"/>
    <x v="0"/>
    <s v="Travel_Rarely"/>
    <n v="964"/>
    <x v="0"/>
    <n v="1"/>
    <n v="2"/>
    <s v="Life Sciences"/>
    <n v="1"/>
    <n v="1734"/>
    <x v="3"/>
    <x v="1"/>
    <x v="61"/>
    <x v="3"/>
    <x v="0"/>
    <x v="0"/>
    <x v="1"/>
    <x v="0"/>
    <x v="1148"/>
    <x v="1201"/>
    <x v="2"/>
    <s v="Y"/>
    <s v="No"/>
    <x v="2"/>
    <x v="0"/>
    <n v="2"/>
    <x v="0"/>
    <n v="0"/>
    <x v="1"/>
    <n v="2"/>
    <x v="1"/>
    <x v="2"/>
    <x v="2"/>
    <x v="0"/>
    <x v="2"/>
  </r>
  <r>
    <x v="30"/>
    <x v="1"/>
    <s v="Travel_Rarely"/>
    <n v="160"/>
    <x v="1"/>
    <n v="4"/>
    <n v="1"/>
    <s v="Medical"/>
    <n v="1"/>
    <n v="1735"/>
    <x v="1"/>
    <x v="0"/>
    <x v="14"/>
    <x v="0"/>
    <x v="1"/>
    <x v="2"/>
    <x v="1"/>
    <x v="0"/>
    <x v="1149"/>
    <x v="1202"/>
    <x v="1"/>
    <s v="Y"/>
    <s v="No"/>
    <x v="4"/>
    <x v="0"/>
    <n v="3"/>
    <x v="0"/>
    <n v="0"/>
    <x v="8"/>
    <n v="3"/>
    <x v="0"/>
    <x v="11"/>
    <x v="3"/>
    <x v="1"/>
    <x v="3"/>
  </r>
  <r>
    <x v="12"/>
    <x v="1"/>
    <s v="Travel_Frequently"/>
    <n v="163"/>
    <x v="1"/>
    <n v="24"/>
    <n v="1"/>
    <s v="Technical Degree"/>
    <n v="1"/>
    <n v="1736"/>
    <x v="2"/>
    <x v="0"/>
    <x v="37"/>
    <x v="0"/>
    <x v="0"/>
    <x v="3"/>
    <x v="0"/>
    <x v="0"/>
    <x v="319"/>
    <x v="30"/>
    <x v="7"/>
    <s v="Y"/>
    <s v="No"/>
    <x v="5"/>
    <x v="1"/>
    <n v="4"/>
    <x v="0"/>
    <n v="0"/>
    <x v="15"/>
    <n v="3"/>
    <x v="2"/>
    <x v="8"/>
    <x v="0"/>
    <x v="1"/>
    <x v="10"/>
  </r>
  <r>
    <x v="22"/>
    <x v="1"/>
    <s v="Non-Travel"/>
    <n v="792"/>
    <x v="1"/>
    <n v="1"/>
    <n v="3"/>
    <s v="Life Sciences"/>
    <n v="1"/>
    <n v="1737"/>
    <x v="2"/>
    <x v="1"/>
    <x v="57"/>
    <x v="0"/>
    <x v="0"/>
    <x v="2"/>
    <x v="0"/>
    <x v="1"/>
    <x v="1150"/>
    <x v="1203"/>
    <x v="1"/>
    <s v="Y"/>
    <s v="Yes"/>
    <x v="2"/>
    <x v="0"/>
    <n v="4"/>
    <x v="0"/>
    <n v="1"/>
    <x v="15"/>
    <n v="2"/>
    <x v="1"/>
    <x v="7"/>
    <x v="6"/>
    <x v="8"/>
    <x v="5"/>
  </r>
  <r>
    <x v="5"/>
    <x v="1"/>
    <s v="Travel_Rarely"/>
    <n v="371"/>
    <x v="0"/>
    <n v="19"/>
    <n v="3"/>
    <s v="Life Sciences"/>
    <n v="1"/>
    <n v="1739"/>
    <x v="2"/>
    <x v="1"/>
    <x v="15"/>
    <x v="3"/>
    <x v="2"/>
    <x v="0"/>
    <x v="2"/>
    <x v="1"/>
    <x v="1151"/>
    <x v="1204"/>
    <x v="9"/>
    <s v="Y"/>
    <s v="No"/>
    <x v="4"/>
    <x v="0"/>
    <n v="3"/>
    <x v="0"/>
    <n v="1"/>
    <x v="1"/>
    <n v="2"/>
    <x v="0"/>
    <x v="9"/>
    <x v="7"/>
    <x v="0"/>
    <x v="3"/>
  </r>
  <r>
    <x v="32"/>
    <x v="1"/>
    <s v="Travel_Rarely"/>
    <n v="611"/>
    <x v="0"/>
    <n v="7"/>
    <n v="4"/>
    <s v="Medical"/>
    <n v="1"/>
    <n v="1740"/>
    <x v="0"/>
    <x v="1"/>
    <x v="64"/>
    <x v="0"/>
    <x v="4"/>
    <x v="5"/>
    <x v="1"/>
    <x v="0"/>
    <x v="1152"/>
    <x v="1205"/>
    <x v="1"/>
    <s v="Y"/>
    <s v="No"/>
    <x v="9"/>
    <x v="0"/>
    <n v="2"/>
    <x v="0"/>
    <n v="0"/>
    <x v="24"/>
    <n v="3"/>
    <x v="2"/>
    <x v="17"/>
    <x v="6"/>
    <x v="12"/>
    <x v="5"/>
  </r>
  <r>
    <x v="28"/>
    <x v="1"/>
    <s v="Travel_Rarely"/>
    <n v="176"/>
    <x v="2"/>
    <n v="4"/>
    <n v="3"/>
    <s v="Life Sciences"/>
    <n v="1"/>
    <n v="1744"/>
    <x v="1"/>
    <x v="0"/>
    <x v="3"/>
    <x v="3"/>
    <x v="2"/>
    <x v="8"/>
    <x v="2"/>
    <x v="1"/>
    <x v="1153"/>
    <x v="1206"/>
    <x v="5"/>
    <s v="Y"/>
    <s v="No"/>
    <x v="7"/>
    <x v="1"/>
    <n v="3"/>
    <x v="0"/>
    <n v="2"/>
    <x v="15"/>
    <n v="2"/>
    <x v="3"/>
    <x v="8"/>
    <x v="2"/>
    <x v="0"/>
    <x v="6"/>
  </r>
  <r>
    <x v="7"/>
    <x v="1"/>
    <s v="Travel_Frequently"/>
    <n v="1312"/>
    <x v="1"/>
    <n v="2"/>
    <n v="4"/>
    <s v="Technical Degree"/>
    <n v="1"/>
    <n v="1745"/>
    <x v="2"/>
    <x v="0"/>
    <x v="17"/>
    <x v="1"/>
    <x v="1"/>
    <x v="1"/>
    <x v="3"/>
    <x v="0"/>
    <x v="775"/>
    <x v="1207"/>
    <x v="4"/>
    <s v="Y"/>
    <s v="No"/>
    <x v="10"/>
    <x v="0"/>
    <n v="4"/>
    <x v="0"/>
    <n v="0"/>
    <x v="1"/>
    <n v="2"/>
    <x v="1"/>
    <x v="7"/>
    <x v="1"/>
    <x v="0"/>
    <x v="1"/>
  </r>
  <r>
    <x v="17"/>
    <x v="1"/>
    <s v="Travel_Frequently"/>
    <n v="897"/>
    <x v="2"/>
    <n v="10"/>
    <n v="3"/>
    <s v="Medical"/>
    <n v="1"/>
    <n v="1746"/>
    <x v="3"/>
    <x v="1"/>
    <x v="40"/>
    <x v="0"/>
    <x v="1"/>
    <x v="8"/>
    <x v="0"/>
    <x v="1"/>
    <x v="1154"/>
    <x v="1208"/>
    <x v="4"/>
    <s v="Y"/>
    <s v="No"/>
    <x v="9"/>
    <x v="0"/>
    <n v="4"/>
    <x v="0"/>
    <n v="1"/>
    <x v="8"/>
    <n v="2"/>
    <x v="1"/>
    <x v="4"/>
    <x v="3"/>
    <x v="3"/>
    <x v="9"/>
  </r>
  <r>
    <x v="7"/>
    <x v="0"/>
    <s v="Travel_Frequently"/>
    <n v="600"/>
    <x v="2"/>
    <n v="8"/>
    <n v="3"/>
    <s v="Human Resources"/>
    <n v="1"/>
    <n v="1747"/>
    <x v="1"/>
    <x v="0"/>
    <x v="45"/>
    <x v="1"/>
    <x v="1"/>
    <x v="8"/>
    <x v="0"/>
    <x v="2"/>
    <x v="1155"/>
    <x v="1209"/>
    <x v="2"/>
    <s v="Y"/>
    <s v="No"/>
    <x v="0"/>
    <x v="0"/>
    <n v="3"/>
    <x v="0"/>
    <n v="1"/>
    <x v="3"/>
    <n v="0"/>
    <x v="2"/>
    <x v="9"/>
    <x v="3"/>
    <x v="1"/>
    <x v="3"/>
  </r>
  <r>
    <x v="12"/>
    <x v="1"/>
    <s v="Travel_Rarely"/>
    <n v="1003"/>
    <x v="0"/>
    <n v="5"/>
    <n v="3"/>
    <s v="Technical Degree"/>
    <n v="1"/>
    <n v="1749"/>
    <x v="3"/>
    <x v="1"/>
    <x v="14"/>
    <x v="0"/>
    <x v="0"/>
    <x v="0"/>
    <x v="2"/>
    <x v="1"/>
    <x v="1156"/>
    <x v="1210"/>
    <x v="1"/>
    <s v="Y"/>
    <s v="No"/>
    <x v="12"/>
    <x v="0"/>
    <n v="3"/>
    <x v="0"/>
    <n v="1"/>
    <x v="3"/>
    <n v="3"/>
    <x v="1"/>
    <x v="8"/>
    <x v="3"/>
    <x v="0"/>
    <x v="3"/>
  </r>
  <r>
    <x v="4"/>
    <x v="1"/>
    <s v="Travel_Rarely"/>
    <n v="1054"/>
    <x v="1"/>
    <n v="8"/>
    <n v="3"/>
    <s v="Medical"/>
    <n v="1"/>
    <n v="1751"/>
    <x v="1"/>
    <x v="0"/>
    <x v="7"/>
    <x v="0"/>
    <x v="1"/>
    <x v="1"/>
    <x v="0"/>
    <x v="0"/>
    <x v="1157"/>
    <x v="1211"/>
    <x v="1"/>
    <s v="Y"/>
    <s v="No"/>
    <x v="0"/>
    <x v="0"/>
    <n v="3"/>
    <x v="0"/>
    <n v="0"/>
    <x v="3"/>
    <n v="5"/>
    <x v="2"/>
    <x v="0"/>
    <x v="3"/>
    <x v="1"/>
    <x v="10"/>
  </r>
  <r>
    <x v="11"/>
    <x v="0"/>
    <s v="Travel_Rarely"/>
    <n v="428"/>
    <x v="0"/>
    <n v="9"/>
    <n v="3"/>
    <s v="Marketing"/>
    <n v="1"/>
    <n v="1752"/>
    <x v="0"/>
    <x v="0"/>
    <x v="48"/>
    <x v="3"/>
    <x v="1"/>
    <x v="6"/>
    <x v="1"/>
    <x v="0"/>
    <x v="1158"/>
    <x v="1212"/>
    <x v="1"/>
    <s v="Y"/>
    <s v="No"/>
    <x v="4"/>
    <x v="0"/>
    <n v="3"/>
    <x v="0"/>
    <n v="0"/>
    <x v="17"/>
    <n v="3"/>
    <x v="1"/>
    <x v="4"/>
    <x v="3"/>
    <x v="3"/>
    <x v="3"/>
  </r>
  <r>
    <x v="11"/>
    <x v="1"/>
    <s v="Travel_Frequently"/>
    <n v="461"/>
    <x v="1"/>
    <n v="1"/>
    <n v="3"/>
    <s v="Life Sciences"/>
    <n v="1"/>
    <n v="1753"/>
    <x v="2"/>
    <x v="1"/>
    <x v="49"/>
    <x v="2"/>
    <x v="0"/>
    <x v="4"/>
    <x v="2"/>
    <x v="0"/>
    <x v="1159"/>
    <x v="1213"/>
    <x v="0"/>
    <s v="Y"/>
    <s v="Yes"/>
    <x v="3"/>
    <x v="0"/>
    <n v="4"/>
    <x v="0"/>
    <n v="0"/>
    <x v="1"/>
    <n v="5"/>
    <x v="3"/>
    <x v="11"/>
    <x v="3"/>
    <x v="0"/>
    <x v="3"/>
  </r>
  <r>
    <x v="7"/>
    <x v="1"/>
    <s v="Travel_Rarely"/>
    <n v="979"/>
    <x v="0"/>
    <n v="15"/>
    <n v="2"/>
    <s v="Marketing"/>
    <n v="1"/>
    <n v="1754"/>
    <x v="1"/>
    <x v="1"/>
    <x v="0"/>
    <x v="1"/>
    <x v="2"/>
    <x v="0"/>
    <x v="3"/>
    <x v="2"/>
    <x v="1160"/>
    <x v="1214"/>
    <x v="7"/>
    <s v="Y"/>
    <s v="No"/>
    <x v="0"/>
    <x v="0"/>
    <n v="1"/>
    <x v="0"/>
    <n v="1"/>
    <x v="4"/>
    <n v="2"/>
    <x v="1"/>
    <x v="5"/>
    <x v="1"/>
    <x v="1"/>
    <x v="1"/>
  </r>
  <r>
    <x v="13"/>
    <x v="1"/>
    <s v="Travel_Rarely"/>
    <n v="181"/>
    <x v="1"/>
    <n v="2"/>
    <n v="4"/>
    <s v="Medical"/>
    <n v="1"/>
    <n v="1755"/>
    <x v="2"/>
    <x v="1"/>
    <x v="28"/>
    <x v="2"/>
    <x v="1"/>
    <x v="1"/>
    <x v="0"/>
    <x v="1"/>
    <x v="1161"/>
    <x v="1215"/>
    <x v="4"/>
    <s v="Y"/>
    <s v="Yes"/>
    <x v="9"/>
    <x v="0"/>
    <n v="1"/>
    <x v="0"/>
    <n v="3"/>
    <x v="3"/>
    <n v="3"/>
    <x v="1"/>
    <x v="8"/>
    <x v="2"/>
    <x v="1"/>
    <x v="3"/>
  </r>
  <r>
    <x v="3"/>
    <x v="1"/>
    <s v="Non-Travel"/>
    <n v="1283"/>
    <x v="0"/>
    <n v="2"/>
    <n v="3"/>
    <s v="Marketing"/>
    <n v="1"/>
    <n v="1756"/>
    <x v="2"/>
    <x v="0"/>
    <x v="50"/>
    <x v="0"/>
    <x v="0"/>
    <x v="0"/>
    <x v="1"/>
    <x v="0"/>
    <x v="1162"/>
    <x v="1216"/>
    <x v="0"/>
    <s v="Y"/>
    <s v="No"/>
    <x v="2"/>
    <x v="0"/>
    <n v="4"/>
    <x v="0"/>
    <n v="0"/>
    <x v="10"/>
    <n v="2"/>
    <x v="2"/>
    <x v="19"/>
    <x v="1"/>
    <x v="1"/>
    <x v="1"/>
  </r>
  <r>
    <x v="1"/>
    <x v="1"/>
    <s v="Travel_Rarely"/>
    <n v="1313"/>
    <x v="0"/>
    <n v="11"/>
    <n v="4"/>
    <s v="Marketing"/>
    <n v="1"/>
    <n v="1757"/>
    <x v="2"/>
    <x v="0"/>
    <x v="15"/>
    <x v="0"/>
    <x v="0"/>
    <x v="0"/>
    <x v="0"/>
    <x v="0"/>
    <x v="1163"/>
    <x v="1217"/>
    <x v="9"/>
    <s v="Y"/>
    <s v="No"/>
    <x v="3"/>
    <x v="0"/>
    <n v="3"/>
    <x v="0"/>
    <n v="0"/>
    <x v="0"/>
    <n v="1"/>
    <x v="3"/>
    <x v="8"/>
    <x v="10"/>
    <x v="0"/>
    <x v="10"/>
  </r>
  <r>
    <x v="3"/>
    <x v="0"/>
    <s v="Travel_Rarely"/>
    <n v="211"/>
    <x v="0"/>
    <n v="16"/>
    <n v="3"/>
    <s v="Life Sciences"/>
    <n v="1"/>
    <n v="1758"/>
    <x v="3"/>
    <x v="0"/>
    <x v="69"/>
    <x v="0"/>
    <x v="2"/>
    <x v="0"/>
    <x v="3"/>
    <x v="0"/>
    <x v="1164"/>
    <x v="1218"/>
    <x v="7"/>
    <s v="Y"/>
    <s v="Yes"/>
    <x v="5"/>
    <x v="1"/>
    <n v="3"/>
    <x v="0"/>
    <n v="0"/>
    <x v="27"/>
    <n v="2"/>
    <x v="2"/>
    <x v="2"/>
    <x v="2"/>
    <x v="0"/>
    <x v="2"/>
  </r>
  <r>
    <x v="8"/>
    <x v="1"/>
    <s v="Travel_Frequently"/>
    <n v="594"/>
    <x v="1"/>
    <n v="2"/>
    <n v="2"/>
    <s v="Medical"/>
    <n v="1"/>
    <n v="1760"/>
    <x v="1"/>
    <x v="0"/>
    <x v="29"/>
    <x v="1"/>
    <x v="1"/>
    <x v="2"/>
    <x v="1"/>
    <x v="1"/>
    <x v="1165"/>
    <x v="1219"/>
    <x v="5"/>
    <s v="Y"/>
    <s v="No"/>
    <x v="9"/>
    <x v="0"/>
    <n v="2"/>
    <x v="0"/>
    <n v="1"/>
    <x v="15"/>
    <n v="4"/>
    <x v="2"/>
    <x v="0"/>
    <x v="10"/>
    <x v="0"/>
    <x v="0"/>
  </r>
  <r>
    <x v="12"/>
    <x v="0"/>
    <s v="Travel_Rarely"/>
    <n v="1079"/>
    <x v="0"/>
    <n v="16"/>
    <n v="4"/>
    <s v="Marketing"/>
    <n v="1"/>
    <n v="1761"/>
    <x v="3"/>
    <x v="1"/>
    <x v="49"/>
    <x v="0"/>
    <x v="2"/>
    <x v="0"/>
    <x v="2"/>
    <x v="1"/>
    <x v="1166"/>
    <x v="1220"/>
    <x v="7"/>
    <s v="Y"/>
    <s v="No"/>
    <x v="4"/>
    <x v="0"/>
    <n v="1"/>
    <x v="0"/>
    <n v="3"/>
    <x v="1"/>
    <n v="2"/>
    <x v="1"/>
    <x v="6"/>
    <x v="2"/>
    <x v="0"/>
    <x v="2"/>
  </r>
  <r>
    <x v="11"/>
    <x v="1"/>
    <s v="Travel_Rarely"/>
    <n v="590"/>
    <x v="1"/>
    <n v="4"/>
    <n v="3"/>
    <s v="Technical Degree"/>
    <n v="1"/>
    <n v="1762"/>
    <x v="2"/>
    <x v="0"/>
    <x v="59"/>
    <x v="1"/>
    <x v="1"/>
    <x v="1"/>
    <x v="3"/>
    <x v="2"/>
    <x v="971"/>
    <x v="1221"/>
    <x v="1"/>
    <s v="Y"/>
    <s v="No"/>
    <x v="4"/>
    <x v="0"/>
    <n v="3"/>
    <x v="0"/>
    <n v="1"/>
    <x v="5"/>
    <n v="2"/>
    <x v="1"/>
    <x v="6"/>
    <x v="2"/>
    <x v="0"/>
    <x v="2"/>
  </r>
  <r>
    <x v="7"/>
    <x v="1"/>
    <s v="Travel_Rarely"/>
    <n v="305"/>
    <x v="1"/>
    <n v="16"/>
    <n v="3"/>
    <s v="Life Sciences"/>
    <n v="1"/>
    <n v="1763"/>
    <x v="1"/>
    <x v="1"/>
    <x v="22"/>
    <x v="2"/>
    <x v="0"/>
    <x v="4"/>
    <x v="2"/>
    <x v="1"/>
    <x v="1167"/>
    <x v="1222"/>
    <x v="9"/>
    <s v="Y"/>
    <s v="No"/>
    <x v="10"/>
    <x v="0"/>
    <n v="3"/>
    <x v="0"/>
    <n v="1"/>
    <x v="1"/>
    <n v="3"/>
    <x v="1"/>
    <x v="5"/>
    <x v="2"/>
    <x v="1"/>
    <x v="1"/>
  </r>
  <r>
    <x v="5"/>
    <x v="1"/>
    <s v="Non-Travel"/>
    <n v="953"/>
    <x v="1"/>
    <n v="5"/>
    <n v="4"/>
    <s v="Technical Degree"/>
    <n v="1"/>
    <n v="1764"/>
    <x v="0"/>
    <x v="1"/>
    <x v="63"/>
    <x v="0"/>
    <x v="1"/>
    <x v="1"/>
    <x v="1"/>
    <x v="0"/>
    <x v="1168"/>
    <x v="1223"/>
    <x v="7"/>
    <s v="Y"/>
    <s v="No"/>
    <x v="9"/>
    <x v="0"/>
    <n v="2"/>
    <x v="0"/>
    <n v="0"/>
    <x v="4"/>
    <n v="3"/>
    <x v="1"/>
    <x v="5"/>
    <x v="1"/>
    <x v="0"/>
    <x v="1"/>
  </r>
  <r>
    <x v="8"/>
    <x v="1"/>
    <s v="Travel_Rarely"/>
    <n v="833"/>
    <x v="1"/>
    <n v="18"/>
    <n v="3"/>
    <s v="Medical"/>
    <n v="1"/>
    <n v="1766"/>
    <x v="0"/>
    <x v="1"/>
    <x v="53"/>
    <x v="3"/>
    <x v="0"/>
    <x v="4"/>
    <x v="0"/>
    <x v="1"/>
    <x v="1169"/>
    <x v="1224"/>
    <x v="9"/>
    <s v="Y"/>
    <s v="Yes"/>
    <x v="10"/>
    <x v="0"/>
    <n v="3"/>
    <x v="0"/>
    <n v="1"/>
    <x v="20"/>
    <n v="2"/>
    <x v="1"/>
    <x v="6"/>
    <x v="2"/>
    <x v="1"/>
    <x v="2"/>
  </r>
  <r>
    <x v="23"/>
    <x v="0"/>
    <s v="Travel_Frequently"/>
    <n v="807"/>
    <x v="1"/>
    <n v="17"/>
    <n v="3"/>
    <s v="Technical Degree"/>
    <n v="1"/>
    <n v="1767"/>
    <x v="1"/>
    <x v="1"/>
    <x v="70"/>
    <x v="1"/>
    <x v="1"/>
    <x v="1"/>
    <x v="2"/>
    <x v="1"/>
    <x v="1170"/>
    <x v="1225"/>
    <x v="3"/>
    <s v="Y"/>
    <s v="Yes"/>
    <x v="10"/>
    <x v="0"/>
    <n v="4"/>
    <x v="0"/>
    <n v="1"/>
    <x v="3"/>
    <n v="4"/>
    <x v="1"/>
    <x v="6"/>
    <x v="2"/>
    <x v="0"/>
    <x v="2"/>
  </r>
  <r>
    <x v="19"/>
    <x v="1"/>
    <s v="Travel_Rarely"/>
    <n v="855"/>
    <x v="1"/>
    <n v="12"/>
    <n v="3"/>
    <s v="Medical"/>
    <n v="1"/>
    <n v="1768"/>
    <x v="0"/>
    <x v="1"/>
    <x v="42"/>
    <x v="0"/>
    <x v="1"/>
    <x v="2"/>
    <x v="1"/>
    <x v="2"/>
    <x v="1171"/>
    <x v="1226"/>
    <x v="0"/>
    <s v="Y"/>
    <s v="No"/>
    <x v="6"/>
    <x v="1"/>
    <n v="2"/>
    <x v="0"/>
    <n v="3"/>
    <x v="2"/>
    <n v="6"/>
    <x v="2"/>
    <x v="8"/>
    <x v="7"/>
    <x v="0"/>
    <x v="10"/>
  </r>
  <r>
    <x v="27"/>
    <x v="1"/>
    <s v="Travel_Rarely"/>
    <n v="478"/>
    <x v="1"/>
    <n v="2"/>
    <n v="3"/>
    <s v="Medical"/>
    <n v="1"/>
    <n v="1770"/>
    <x v="1"/>
    <x v="1"/>
    <x v="53"/>
    <x v="1"/>
    <x v="4"/>
    <x v="7"/>
    <x v="3"/>
    <x v="1"/>
    <x v="1172"/>
    <x v="1227"/>
    <x v="0"/>
    <s v="Y"/>
    <s v="No"/>
    <x v="3"/>
    <x v="0"/>
    <n v="2"/>
    <x v="0"/>
    <n v="3"/>
    <x v="35"/>
    <n v="2"/>
    <x v="1"/>
    <x v="6"/>
    <x v="2"/>
    <x v="0"/>
    <x v="2"/>
  </r>
  <r>
    <x v="3"/>
    <x v="1"/>
    <s v="Non-Travel"/>
    <n v="775"/>
    <x v="1"/>
    <n v="4"/>
    <n v="3"/>
    <s v="Technical Degree"/>
    <n v="1"/>
    <n v="1771"/>
    <x v="2"/>
    <x v="1"/>
    <x v="62"/>
    <x v="0"/>
    <x v="0"/>
    <x v="1"/>
    <x v="1"/>
    <x v="2"/>
    <x v="1173"/>
    <x v="1228"/>
    <x v="6"/>
    <s v="Y"/>
    <s v="No"/>
    <x v="2"/>
    <x v="0"/>
    <n v="4"/>
    <x v="0"/>
    <n v="2"/>
    <x v="27"/>
    <n v="2"/>
    <x v="2"/>
    <x v="7"/>
    <x v="6"/>
    <x v="1"/>
    <x v="1"/>
  </r>
  <r>
    <x v="0"/>
    <x v="1"/>
    <s v="Travel_Rarely"/>
    <n v="548"/>
    <x v="1"/>
    <n v="9"/>
    <n v="4"/>
    <s v="Life Sciences"/>
    <n v="1"/>
    <n v="1772"/>
    <x v="1"/>
    <x v="1"/>
    <x v="0"/>
    <x v="0"/>
    <x v="1"/>
    <x v="2"/>
    <x v="3"/>
    <x v="2"/>
    <x v="1174"/>
    <x v="1229"/>
    <x v="1"/>
    <s v="Y"/>
    <s v="No"/>
    <x v="5"/>
    <x v="1"/>
    <n v="2"/>
    <x v="0"/>
    <n v="2"/>
    <x v="7"/>
    <n v="2"/>
    <x v="1"/>
    <x v="8"/>
    <x v="7"/>
    <x v="0"/>
    <x v="10"/>
  </r>
  <r>
    <x v="13"/>
    <x v="1"/>
    <s v="Non-Travel"/>
    <n v="1375"/>
    <x v="0"/>
    <n v="10"/>
    <n v="3"/>
    <s v="Life Sciences"/>
    <n v="1"/>
    <n v="1774"/>
    <x v="2"/>
    <x v="1"/>
    <x v="44"/>
    <x v="0"/>
    <x v="0"/>
    <x v="0"/>
    <x v="2"/>
    <x v="2"/>
    <x v="1175"/>
    <x v="1230"/>
    <x v="1"/>
    <s v="Y"/>
    <s v="Yes"/>
    <x v="9"/>
    <x v="0"/>
    <n v="3"/>
    <x v="0"/>
    <n v="1"/>
    <x v="20"/>
    <n v="3"/>
    <x v="1"/>
    <x v="15"/>
    <x v="12"/>
    <x v="0"/>
    <x v="1"/>
  </r>
  <r>
    <x v="16"/>
    <x v="1"/>
    <s v="Non-Travel"/>
    <n v="661"/>
    <x v="1"/>
    <n v="1"/>
    <n v="4"/>
    <s v="Medical"/>
    <n v="1"/>
    <n v="1775"/>
    <x v="3"/>
    <x v="0"/>
    <x v="53"/>
    <x v="1"/>
    <x v="3"/>
    <x v="3"/>
    <x v="2"/>
    <x v="1"/>
    <x v="1176"/>
    <x v="1231"/>
    <x v="5"/>
    <s v="Y"/>
    <s v="Yes"/>
    <x v="5"/>
    <x v="1"/>
    <n v="4"/>
    <x v="0"/>
    <n v="3"/>
    <x v="39"/>
    <n v="2"/>
    <x v="2"/>
    <x v="11"/>
    <x v="3"/>
    <x v="0"/>
    <x v="3"/>
  </r>
  <r>
    <x v="23"/>
    <x v="1"/>
    <s v="Travel_Rarely"/>
    <n v="244"/>
    <x v="2"/>
    <n v="2"/>
    <n v="3"/>
    <s v="Life Sciences"/>
    <n v="1"/>
    <n v="1778"/>
    <x v="0"/>
    <x v="1"/>
    <x v="28"/>
    <x v="0"/>
    <x v="1"/>
    <x v="8"/>
    <x v="0"/>
    <x v="0"/>
    <x v="1177"/>
    <x v="1232"/>
    <x v="4"/>
    <s v="Y"/>
    <s v="No"/>
    <x v="4"/>
    <x v="0"/>
    <n v="2"/>
    <x v="0"/>
    <n v="0"/>
    <x v="1"/>
    <n v="5"/>
    <x v="1"/>
    <x v="7"/>
    <x v="1"/>
    <x v="1"/>
    <x v="5"/>
  </r>
  <r>
    <x v="13"/>
    <x v="1"/>
    <s v="Travel_Rarely"/>
    <n v="511"/>
    <x v="0"/>
    <n v="3"/>
    <n v="2"/>
    <s v="Life Sciences"/>
    <n v="1"/>
    <n v="1779"/>
    <x v="2"/>
    <x v="0"/>
    <x v="47"/>
    <x v="3"/>
    <x v="0"/>
    <x v="0"/>
    <x v="0"/>
    <x v="0"/>
    <x v="1178"/>
    <x v="1233"/>
    <x v="6"/>
    <s v="Y"/>
    <s v="No"/>
    <x v="3"/>
    <x v="0"/>
    <n v="1"/>
    <x v="0"/>
    <n v="0"/>
    <x v="3"/>
    <n v="3"/>
    <x v="1"/>
    <x v="4"/>
    <x v="3"/>
    <x v="3"/>
    <x v="3"/>
  </r>
  <r>
    <x v="18"/>
    <x v="0"/>
    <s v="Travel_Rarely"/>
    <n v="337"/>
    <x v="0"/>
    <n v="7"/>
    <n v="1"/>
    <s v="Marketing"/>
    <n v="1"/>
    <n v="1780"/>
    <x v="0"/>
    <x v="1"/>
    <x v="11"/>
    <x v="0"/>
    <x v="1"/>
    <x v="6"/>
    <x v="1"/>
    <x v="0"/>
    <x v="1179"/>
    <x v="1234"/>
    <x v="1"/>
    <s v="Y"/>
    <s v="No"/>
    <x v="4"/>
    <x v="0"/>
    <n v="2"/>
    <x v="0"/>
    <n v="0"/>
    <x v="5"/>
    <n v="3"/>
    <x v="1"/>
    <x v="6"/>
    <x v="2"/>
    <x v="1"/>
    <x v="2"/>
  </r>
  <r>
    <x v="8"/>
    <x v="1"/>
    <s v="Travel_Rarely"/>
    <n v="1153"/>
    <x v="1"/>
    <n v="6"/>
    <n v="2"/>
    <s v="Other"/>
    <n v="1"/>
    <n v="1782"/>
    <x v="2"/>
    <x v="0"/>
    <x v="4"/>
    <x v="1"/>
    <x v="1"/>
    <x v="2"/>
    <x v="2"/>
    <x v="1"/>
    <x v="1180"/>
    <x v="1235"/>
    <x v="1"/>
    <s v="Y"/>
    <s v="No"/>
    <x v="0"/>
    <x v="0"/>
    <n v="2"/>
    <x v="0"/>
    <n v="1"/>
    <x v="7"/>
    <n v="3"/>
    <x v="1"/>
    <x v="8"/>
    <x v="0"/>
    <x v="0"/>
    <x v="10"/>
  </r>
  <r>
    <x v="15"/>
    <x v="0"/>
    <s v="Travel_Rarely"/>
    <n v="1294"/>
    <x v="1"/>
    <n v="8"/>
    <n v="1"/>
    <s v="Medical"/>
    <n v="1"/>
    <n v="1783"/>
    <x v="1"/>
    <x v="0"/>
    <x v="5"/>
    <x v="0"/>
    <x v="1"/>
    <x v="2"/>
    <x v="3"/>
    <x v="1"/>
    <x v="1181"/>
    <x v="1236"/>
    <x v="1"/>
    <s v="Y"/>
    <s v="Yes"/>
    <x v="8"/>
    <x v="0"/>
    <n v="3"/>
    <x v="0"/>
    <n v="0"/>
    <x v="5"/>
    <n v="6"/>
    <x v="1"/>
    <x v="6"/>
    <x v="2"/>
    <x v="0"/>
    <x v="2"/>
  </r>
  <r>
    <x v="12"/>
    <x v="1"/>
    <s v="Travel_Rarely"/>
    <n v="196"/>
    <x v="0"/>
    <n v="29"/>
    <n v="4"/>
    <s v="Marketing"/>
    <n v="1"/>
    <n v="1784"/>
    <x v="3"/>
    <x v="0"/>
    <x v="59"/>
    <x v="1"/>
    <x v="0"/>
    <x v="0"/>
    <x v="0"/>
    <x v="1"/>
    <x v="1182"/>
    <x v="1237"/>
    <x v="1"/>
    <s v="Y"/>
    <s v="No"/>
    <x v="9"/>
    <x v="0"/>
    <n v="1"/>
    <x v="0"/>
    <n v="2"/>
    <x v="10"/>
    <n v="3"/>
    <x v="1"/>
    <x v="12"/>
    <x v="1"/>
    <x v="8"/>
    <x v="1"/>
  </r>
  <r>
    <x v="31"/>
    <x v="1"/>
    <s v="Travel_Rarely"/>
    <n v="942"/>
    <x v="1"/>
    <n v="3"/>
    <n v="3"/>
    <s v="Technical Degree"/>
    <n v="1"/>
    <n v="1786"/>
    <x v="3"/>
    <x v="0"/>
    <x v="20"/>
    <x v="0"/>
    <x v="2"/>
    <x v="5"/>
    <x v="2"/>
    <x v="1"/>
    <x v="1183"/>
    <x v="1238"/>
    <x v="7"/>
    <s v="Y"/>
    <s v="No"/>
    <x v="0"/>
    <x v="0"/>
    <n v="4"/>
    <x v="0"/>
    <n v="0"/>
    <x v="20"/>
    <n v="2"/>
    <x v="1"/>
    <x v="4"/>
    <x v="3"/>
    <x v="3"/>
    <x v="3"/>
  </r>
  <r>
    <x v="2"/>
    <x v="1"/>
    <s v="Travel_Rarely"/>
    <n v="589"/>
    <x v="0"/>
    <n v="9"/>
    <n v="2"/>
    <s v="Marketing"/>
    <n v="1"/>
    <n v="1787"/>
    <x v="0"/>
    <x v="1"/>
    <x v="55"/>
    <x v="1"/>
    <x v="0"/>
    <x v="0"/>
    <x v="1"/>
    <x v="1"/>
    <x v="1184"/>
    <x v="1239"/>
    <x v="1"/>
    <s v="Y"/>
    <s v="No"/>
    <x v="9"/>
    <x v="0"/>
    <n v="1"/>
    <x v="0"/>
    <n v="2"/>
    <x v="7"/>
    <n v="2"/>
    <x v="1"/>
    <x v="8"/>
    <x v="3"/>
    <x v="0"/>
    <x v="6"/>
  </r>
  <r>
    <x v="21"/>
    <x v="1"/>
    <s v="Travel_Rarely"/>
    <n v="734"/>
    <x v="1"/>
    <n v="2"/>
    <n v="4"/>
    <s v="Medical"/>
    <n v="1"/>
    <n v="1789"/>
    <x v="1"/>
    <x v="1"/>
    <x v="55"/>
    <x v="0"/>
    <x v="4"/>
    <x v="7"/>
    <x v="0"/>
    <x v="2"/>
    <x v="1185"/>
    <x v="1240"/>
    <x v="8"/>
    <s v="Y"/>
    <s v="Yes"/>
    <x v="8"/>
    <x v="0"/>
    <n v="3"/>
    <x v="0"/>
    <n v="1"/>
    <x v="13"/>
    <n v="3"/>
    <x v="1"/>
    <x v="4"/>
    <x v="10"/>
    <x v="3"/>
    <x v="3"/>
  </r>
  <r>
    <x v="9"/>
    <x v="1"/>
    <s v="Travel_Rarely"/>
    <n v="1383"/>
    <x v="1"/>
    <n v="10"/>
    <n v="3"/>
    <s v="Life Sciences"/>
    <n v="1"/>
    <n v="1790"/>
    <x v="2"/>
    <x v="1"/>
    <x v="62"/>
    <x v="0"/>
    <x v="2"/>
    <x v="4"/>
    <x v="3"/>
    <x v="1"/>
    <x v="1186"/>
    <x v="1241"/>
    <x v="8"/>
    <s v="Y"/>
    <s v="Yes"/>
    <x v="4"/>
    <x v="0"/>
    <n v="4"/>
    <x v="0"/>
    <n v="1"/>
    <x v="20"/>
    <n v="1"/>
    <x v="1"/>
    <x v="12"/>
    <x v="6"/>
    <x v="8"/>
    <x v="1"/>
  </r>
  <r>
    <x v="20"/>
    <x v="0"/>
    <s v="Travel_Frequently"/>
    <n v="429"/>
    <x v="1"/>
    <n v="1"/>
    <n v="2"/>
    <s v="Medical"/>
    <n v="1"/>
    <n v="1792"/>
    <x v="1"/>
    <x v="1"/>
    <x v="39"/>
    <x v="0"/>
    <x v="1"/>
    <x v="1"/>
    <x v="1"/>
    <x v="2"/>
    <x v="531"/>
    <x v="1242"/>
    <x v="1"/>
    <s v="Y"/>
    <s v="Yes"/>
    <x v="3"/>
    <x v="0"/>
    <n v="3"/>
    <x v="0"/>
    <n v="3"/>
    <x v="3"/>
    <n v="2"/>
    <x v="2"/>
    <x v="8"/>
    <x v="7"/>
    <x v="3"/>
    <x v="6"/>
  </r>
  <r>
    <x v="2"/>
    <x v="1"/>
    <s v="Travel_Rarely"/>
    <n v="1239"/>
    <x v="2"/>
    <n v="8"/>
    <n v="2"/>
    <s v="Other"/>
    <n v="1"/>
    <n v="1794"/>
    <x v="1"/>
    <x v="1"/>
    <x v="66"/>
    <x v="0"/>
    <x v="0"/>
    <x v="8"/>
    <x v="1"/>
    <x v="2"/>
    <x v="1187"/>
    <x v="1243"/>
    <x v="7"/>
    <s v="Y"/>
    <s v="No"/>
    <x v="4"/>
    <x v="0"/>
    <n v="3"/>
    <x v="0"/>
    <n v="0"/>
    <x v="16"/>
    <n v="4"/>
    <x v="2"/>
    <x v="1"/>
    <x v="2"/>
    <x v="5"/>
    <x v="1"/>
  </r>
  <r>
    <x v="10"/>
    <x v="0"/>
    <s v="Travel_Rarely"/>
    <n v="303"/>
    <x v="0"/>
    <n v="27"/>
    <n v="3"/>
    <s v="Life Sciences"/>
    <n v="1"/>
    <n v="1797"/>
    <x v="1"/>
    <x v="1"/>
    <x v="9"/>
    <x v="0"/>
    <x v="0"/>
    <x v="0"/>
    <x v="0"/>
    <x v="0"/>
    <x v="1188"/>
    <x v="1244"/>
    <x v="1"/>
    <s v="Y"/>
    <s v="Yes"/>
    <x v="11"/>
    <x v="0"/>
    <n v="4"/>
    <x v="0"/>
    <n v="0"/>
    <x v="1"/>
    <n v="2"/>
    <x v="1"/>
    <x v="1"/>
    <x v="1"/>
    <x v="4"/>
    <x v="1"/>
  </r>
  <r>
    <x v="3"/>
    <x v="1"/>
    <s v="Travel_Rarely"/>
    <n v="867"/>
    <x v="1"/>
    <n v="8"/>
    <n v="4"/>
    <s v="Life Sciences"/>
    <n v="1"/>
    <n v="1798"/>
    <x v="2"/>
    <x v="1"/>
    <x v="62"/>
    <x v="2"/>
    <x v="1"/>
    <x v="1"/>
    <x v="3"/>
    <x v="1"/>
    <x v="1189"/>
    <x v="1245"/>
    <x v="2"/>
    <s v="Y"/>
    <s v="No"/>
    <x v="12"/>
    <x v="0"/>
    <n v="2"/>
    <x v="0"/>
    <n v="1"/>
    <x v="19"/>
    <n v="1"/>
    <x v="1"/>
    <x v="1"/>
    <x v="6"/>
    <x v="4"/>
    <x v="4"/>
  </r>
  <r>
    <x v="14"/>
    <x v="1"/>
    <s v="Travel_Rarely"/>
    <n v="1181"/>
    <x v="1"/>
    <n v="1"/>
    <n v="3"/>
    <s v="Life Sciences"/>
    <n v="1"/>
    <n v="1799"/>
    <x v="1"/>
    <x v="1"/>
    <x v="19"/>
    <x v="0"/>
    <x v="1"/>
    <x v="1"/>
    <x v="0"/>
    <x v="1"/>
    <x v="633"/>
    <x v="1246"/>
    <x v="1"/>
    <s v="Y"/>
    <s v="No"/>
    <x v="0"/>
    <x v="0"/>
    <n v="3"/>
    <x v="0"/>
    <n v="1"/>
    <x v="7"/>
    <n v="6"/>
    <x v="3"/>
    <x v="8"/>
    <x v="7"/>
    <x v="0"/>
    <x v="6"/>
  </r>
  <r>
    <x v="22"/>
    <x v="1"/>
    <s v="Travel_Rarely"/>
    <n v="1253"/>
    <x v="1"/>
    <n v="10"/>
    <n v="1"/>
    <s v="Medical"/>
    <n v="1"/>
    <n v="1800"/>
    <x v="1"/>
    <x v="1"/>
    <x v="63"/>
    <x v="0"/>
    <x v="2"/>
    <x v="7"/>
    <x v="2"/>
    <x v="0"/>
    <x v="1190"/>
    <x v="1247"/>
    <x v="8"/>
    <s v="Y"/>
    <s v="No"/>
    <x v="7"/>
    <x v="1"/>
    <n v="3"/>
    <x v="0"/>
    <n v="0"/>
    <x v="15"/>
    <n v="3"/>
    <x v="1"/>
    <x v="9"/>
    <x v="7"/>
    <x v="3"/>
    <x v="3"/>
  </r>
  <r>
    <x v="21"/>
    <x v="1"/>
    <s v="Non-Travel"/>
    <n v="849"/>
    <x v="0"/>
    <n v="26"/>
    <n v="2"/>
    <s v="Life Sciences"/>
    <n v="1"/>
    <n v="1801"/>
    <x v="0"/>
    <x v="1"/>
    <x v="33"/>
    <x v="1"/>
    <x v="0"/>
    <x v="0"/>
    <x v="1"/>
    <x v="0"/>
    <x v="1191"/>
    <x v="1248"/>
    <x v="0"/>
    <s v="Y"/>
    <s v="No"/>
    <x v="2"/>
    <x v="0"/>
    <n v="3"/>
    <x v="0"/>
    <n v="0"/>
    <x v="3"/>
    <n v="3"/>
    <x v="1"/>
    <x v="4"/>
    <x v="3"/>
    <x v="3"/>
    <x v="3"/>
  </r>
  <r>
    <x v="32"/>
    <x v="1"/>
    <s v="Travel_Rarely"/>
    <n v="616"/>
    <x v="1"/>
    <n v="2"/>
    <n v="2"/>
    <s v="Life Sciences"/>
    <n v="1"/>
    <n v="1802"/>
    <x v="1"/>
    <x v="0"/>
    <x v="39"/>
    <x v="0"/>
    <x v="1"/>
    <x v="2"/>
    <x v="3"/>
    <x v="1"/>
    <x v="1192"/>
    <x v="1249"/>
    <x v="5"/>
    <s v="Y"/>
    <s v="No"/>
    <x v="8"/>
    <x v="0"/>
    <n v="4"/>
    <x v="0"/>
    <n v="1"/>
    <x v="2"/>
    <n v="5"/>
    <x v="2"/>
    <x v="9"/>
    <x v="7"/>
    <x v="0"/>
    <x v="3"/>
  </r>
  <r>
    <x v="19"/>
    <x v="1"/>
    <s v="Travel_Rarely"/>
    <n v="1128"/>
    <x v="1"/>
    <n v="13"/>
    <n v="3"/>
    <s v="Medical"/>
    <n v="1"/>
    <n v="1803"/>
    <x v="0"/>
    <x v="1"/>
    <x v="41"/>
    <x v="2"/>
    <x v="0"/>
    <x v="4"/>
    <x v="3"/>
    <x v="1"/>
    <x v="1193"/>
    <x v="1250"/>
    <x v="6"/>
    <s v="Y"/>
    <s v="No"/>
    <x v="11"/>
    <x v="0"/>
    <n v="3"/>
    <x v="0"/>
    <n v="2"/>
    <x v="1"/>
    <n v="2"/>
    <x v="2"/>
    <x v="2"/>
    <x v="2"/>
    <x v="0"/>
    <x v="2"/>
  </r>
  <r>
    <x v="10"/>
    <x v="1"/>
    <s v="Non-Travel"/>
    <n v="1180"/>
    <x v="1"/>
    <n v="2"/>
    <n v="2"/>
    <s v="Medical"/>
    <n v="1"/>
    <n v="1804"/>
    <x v="0"/>
    <x v="1"/>
    <x v="62"/>
    <x v="0"/>
    <x v="0"/>
    <x v="3"/>
    <x v="0"/>
    <x v="2"/>
    <x v="1194"/>
    <x v="1251"/>
    <x v="7"/>
    <s v="Y"/>
    <s v="No"/>
    <x v="9"/>
    <x v="0"/>
    <n v="3"/>
    <x v="0"/>
    <n v="1"/>
    <x v="20"/>
    <n v="6"/>
    <x v="1"/>
    <x v="5"/>
    <x v="1"/>
    <x v="1"/>
    <x v="1"/>
  </r>
  <r>
    <x v="8"/>
    <x v="1"/>
    <s v="Non-Travel"/>
    <n v="1336"/>
    <x v="2"/>
    <n v="2"/>
    <n v="3"/>
    <s v="Human Resources"/>
    <n v="1"/>
    <n v="1805"/>
    <x v="3"/>
    <x v="1"/>
    <x v="54"/>
    <x v="0"/>
    <x v="1"/>
    <x v="8"/>
    <x v="1"/>
    <x v="2"/>
    <x v="1195"/>
    <x v="1252"/>
    <x v="6"/>
    <s v="Y"/>
    <s v="No"/>
    <x v="4"/>
    <x v="0"/>
    <n v="4"/>
    <x v="0"/>
    <n v="3"/>
    <x v="10"/>
    <n v="3"/>
    <x v="1"/>
    <x v="19"/>
    <x v="15"/>
    <x v="2"/>
    <x v="5"/>
  </r>
  <r>
    <x v="13"/>
    <x v="0"/>
    <s v="Travel_Frequently"/>
    <n v="234"/>
    <x v="1"/>
    <n v="9"/>
    <n v="4"/>
    <s v="Life Sciences"/>
    <n v="1"/>
    <n v="1807"/>
    <x v="2"/>
    <x v="1"/>
    <x v="12"/>
    <x v="0"/>
    <x v="0"/>
    <x v="2"/>
    <x v="3"/>
    <x v="1"/>
    <x v="800"/>
    <x v="1253"/>
    <x v="5"/>
    <s v="Y"/>
    <s v="No"/>
    <x v="8"/>
    <x v="0"/>
    <n v="3"/>
    <x v="0"/>
    <n v="1"/>
    <x v="27"/>
    <n v="3"/>
    <x v="2"/>
    <x v="5"/>
    <x v="10"/>
    <x v="0"/>
    <x v="1"/>
  </r>
  <r>
    <x v="2"/>
    <x v="0"/>
    <s v="Travel_Rarely"/>
    <n v="370"/>
    <x v="1"/>
    <n v="10"/>
    <n v="4"/>
    <s v="Medical"/>
    <n v="1"/>
    <n v="1809"/>
    <x v="2"/>
    <x v="1"/>
    <x v="22"/>
    <x v="0"/>
    <x v="0"/>
    <x v="3"/>
    <x v="3"/>
    <x v="0"/>
    <x v="1196"/>
    <x v="1254"/>
    <x v="1"/>
    <s v="Y"/>
    <s v="No"/>
    <x v="2"/>
    <x v="0"/>
    <n v="2"/>
    <x v="0"/>
    <n v="0"/>
    <x v="1"/>
    <n v="4"/>
    <x v="0"/>
    <x v="1"/>
    <x v="7"/>
    <x v="0"/>
    <x v="5"/>
  </r>
  <r>
    <x v="22"/>
    <x v="1"/>
    <s v="Travel_Frequently"/>
    <n v="766"/>
    <x v="0"/>
    <n v="20"/>
    <n v="3"/>
    <s v="Life Sciences"/>
    <n v="1"/>
    <n v="1812"/>
    <x v="1"/>
    <x v="1"/>
    <x v="21"/>
    <x v="0"/>
    <x v="0"/>
    <x v="0"/>
    <x v="0"/>
    <x v="2"/>
    <x v="1197"/>
    <x v="1255"/>
    <x v="7"/>
    <s v="Y"/>
    <s v="No"/>
    <x v="11"/>
    <x v="0"/>
    <n v="4"/>
    <x v="0"/>
    <n v="1"/>
    <x v="2"/>
    <n v="6"/>
    <x v="1"/>
    <x v="4"/>
    <x v="10"/>
    <x v="3"/>
    <x v="3"/>
  </r>
  <r>
    <x v="23"/>
    <x v="1"/>
    <s v="Non-Travel"/>
    <n v="343"/>
    <x v="1"/>
    <n v="9"/>
    <n v="3"/>
    <s v="Life Sciences"/>
    <n v="1"/>
    <n v="1813"/>
    <x v="3"/>
    <x v="1"/>
    <x v="48"/>
    <x v="0"/>
    <x v="1"/>
    <x v="1"/>
    <x v="2"/>
    <x v="0"/>
    <x v="1198"/>
    <x v="1256"/>
    <x v="5"/>
    <s v="Y"/>
    <s v="No"/>
    <x v="4"/>
    <x v="0"/>
    <n v="3"/>
    <x v="0"/>
    <n v="0"/>
    <x v="2"/>
    <n v="2"/>
    <x v="2"/>
    <x v="11"/>
    <x v="3"/>
    <x v="1"/>
    <x v="3"/>
  </r>
  <r>
    <x v="0"/>
    <x v="1"/>
    <s v="Travel_Rarely"/>
    <n v="447"/>
    <x v="1"/>
    <n v="5"/>
    <n v="3"/>
    <s v="Life Sciences"/>
    <n v="1"/>
    <n v="1814"/>
    <x v="0"/>
    <x v="1"/>
    <x v="65"/>
    <x v="2"/>
    <x v="0"/>
    <x v="4"/>
    <x v="1"/>
    <x v="0"/>
    <x v="1199"/>
    <x v="1257"/>
    <x v="9"/>
    <s v="Y"/>
    <s v="No"/>
    <x v="3"/>
    <x v="0"/>
    <n v="1"/>
    <x v="0"/>
    <n v="0"/>
    <x v="27"/>
    <n v="3"/>
    <x v="0"/>
    <x v="11"/>
    <x v="3"/>
    <x v="1"/>
    <x v="3"/>
  </r>
  <r>
    <x v="0"/>
    <x v="1"/>
    <s v="Travel_Rarely"/>
    <n v="796"/>
    <x v="0"/>
    <n v="4"/>
    <n v="1"/>
    <s v="Marketing"/>
    <n v="1"/>
    <n v="1815"/>
    <x v="1"/>
    <x v="0"/>
    <x v="6"/>
    <x v="0"/>
    <x v="2"/>
    <x v="0"/>
    <x v="2"/>
    <x v="2"/>
    <x v="1200"/>
    <x v="1258"/>
    <x v="4"/>
    <s v="Y"/>
    <s v="Yes"/>
    <x v="4"/>
    <x v="0"/>
    <n v="4"/>
    <x v="0"/>
    <n v="1"/>
    <x v="18"/>
    <n v="3"/>
    <x v="3"/>
    <x v="14"/>
    <x v="12"/>
    <x v="11"/>
    <x v="0"/>
  </r>
  <r>
    <x v="7"/>
    <x v="1"/>
    <s v="Travel_Rarely"/>
    <n v="1092"/>
    <x v="1"/>
    <n v="10"/>
    <n v="3"/>
    <s v="Medical"/>
    <n v="1"/>
    <n v="1816"/>
    <x v="3"/>
    <x v="0"/>
    <x v="51"/>
    <x v="0"/>
    <x v="2"/>
    <x v="3"/>
    <x v="2"/>
    <x v="0"/>
    <x v="1201"/>
    <x v="1259"/>
    <x v="3"/>
    <s v="Y"/>
    <s v="No"/>
    <x v="9"/>
    <x v="0"/>
    <n v="2"/>
    <x v="0"/>
    <n v="0"/>
    <x v="15"/>
    <n v="3"/>
    <x v="1"/>
    <x v="5"/>
    <x v="1"/>
    <x v="0"/>
    <x v="3"/>
  </r>
  <r>
    <x v="25"/>
    <x v="0"/>
    <s v="Travel_Rarely"/>
    <n v="920"/>
    <x v="2"/>
    <n v="20"/>
    <n v="2"/>
    <s v="Medical"/>
    <n v="1"/>
    <n v="1818"/>
    <x v="2"/>
    <x v="0"/>
    <x v="68"/>
    <x v="0"/>
    <x v="1"/>
    <x v="8"/>
    <x v="1"/>
    <x v="1"/>
    <x v="1202"/>
    <x v="1260"/>
    <x v="4"/>
    <s v="Y"/>
    <s v="Yes"/>
    <x v="0"/>
    <x v="0"/>
    <n v="3"/>
    <x v="0"/>
    <n v="0"/>
    <x v="3"/>
    <n v="3"/>
    <x v="1"/>
    <x v="8"/>
    <x v="10"/>
    <x v="1"/>
    <x v="10"/>
  </r>
  <r>
    <x v="21"/>
    <x v="0"/>
    <s v="Travel_Rarely"/>
    <n v="261"/>
    <x v="1"/>
    <n v="21"/>
    <n v="2"/>
    <s v="Medical"/>
    <n v="1"/>
    <n v="1821"/>
    <x v="2"/>
    <x v="0"/>
    <x v="45"/>
    <x v="0"/>
    <x v="0"/>
    <x v="4"/>
    <x v="1"/>
    <x v="1"/>
    <x v="1203"/>
    <x v="1261"/>
    <x v="5"/>
    <s v="Y"/>
    <s v="No"/>
    <x v="6"/>
    <x v="1"/>
    <n v="4"/>
    <x v="0"/>
    <n v="1"/>
    <x v="10"/>
    <n v="2"/>
    <x v="3"/>
    <x v="7"/>
    <x v="1"/>
    <x v="2"/>
    <x v="1"/>
  </r>
  <r>
    <x v="32"/>
    <x v="1"/>
    <s v="Travel_Rarely"/>
    <n v="1194"/>
    <x v="1"/>
    <n v="1"/>
    <n v="3"/>
    <s v="Life Sciences"/>
    <n v="1"/>
    <n v="1822"/>
    <x v="1"/>
    <x v="0"/>
    <x v="48"/>
    <x v="0"/>
    <x v="0"/>
    <x v="4"/>
    <x v="0"/>
    <x v="2"/>
    <x v="1204"/>
    <x v="1262"/>
    <x v="5"/>
    <s v="Y"/>
    <s v="No"/>
    <x v="8"/>
    <x v="0"/>
    <n v="4"/>
    <x v="0"/>
    <n v="1"/>
    <x v="4"/>
    <n v="3"/>
    <x v="1"/>
    <x v="8"/>
    <x v="7"/>
    <x v="0"/>
    <x v="6"/>
  </r>
  <r>
    <x v="13"/>
    <x v="1"/>
    <s v="Travel_Rarely"/>
    <n v="810"/>
    <x v="0"/>
    <n v="8"/>
    <n v="2"/>
    <s v="Technical Degree"/>
    <n v="1"/>
    <n v="1823"/>
    <x v="0"/>
    <x v="1"/>
    <x v="2"/>
    <x v="2"/>
    <x v="0"/>
    <x v="0"/>
    <x v="2"/>
    <x v="1"/>
    <x v="1205"/>
    <x v="1263"/>
    <x v="1"/>
    <s v="Y"/>
    <s v="No"/>
    <x v="7"/>
    <x v="1"/>
    <n v="3"/>
    <x v="0"/>
    <n v="2"/>
    <x v="1"/>
    <n v="5"/>
    <x v="1"/>
    <x v="1"/>
    <x v="6"/>
    <x v="5"/>
    <x v="5"/>
  </r>
  <r>
    <x v="34"/>
    <x v="1"/>
    <s v="Non-Travel"/>
    <n v="350"/>
    <x v="0"/>
    <n v="2"/>
    <n v="3"/>
    <s v="Medical"/>
    <n v="1"/>
    <n v="1824"/>
    <x v="0"/>
    <x v="1"/>
    <x v="48"/>
    <x v="0"/>
    <x v="3"/>
    <x v="5"/>
    <x v="1"/>
    <x v="2"/>
    <x v="1206"/>
    <x v="1264"/>
    <x v="5"/>
    <s v="Y"/>
    <s v="No"/>
    <x v="6"/>
    <x v="1"/>
    <n v="4"/>
    <x v="0"/>
    <n v="1"/>
    <x v="29"/>
    <n v="0"/>
    <x v="2"/>
    <x v="22"/>
    <x v="5"/>
    <x v="15"/>
    <x v="17"/>
  </r>
  <r>
    <x v="10"/>
    <x v="1"/>
    <s v="Travel_Rarely"/>
    <n v="185"/>
    <x v="1"/>
    <n v="23"/>
    <n v="4"/>
    <s v="Medical"/>
    <n v="1"/>
    <n v="1826"/>
    <x v="0"/>
    <x v="1"/>
    <x v="59"/>
    <x v="3"/>
    <x v="1"/>
    <x v="2"/>
    <x v="2"/>
    <x v="1"/>
    <x v="1207"/>
    <x v="1265"/>
    <x v="4"/>
    <s v="Y"/>
    <s v="No"/>
    <x v="10"/>
    <x v="0"/>
    <n v="2"/>
    <x v="0"/>
    <n v="1"/>
    <x v="3"/>
    <n v="2"/>
    <x v="3"/>
    <x v="8"/>
    <x v="0"/>
    <x v="0"/>
    <x v="6"/>
  </r>
  <r>
    <x v="40"/>
    <x v="1"/>
    <s v="Travel_Rarely"/>
    <n v="1001"/>
    <x v="1"/>
    <n v="4"/>
    <n v="3"/>
    <s v="Life Sciences"/>
    <n v="1"/>
    <n v="1827"/>
    <x v="1"/>
    <x v="0"/>
    <x v="2"/>
    <x v="1"/>
    <x v="2"/>
    <x v="3"/>
    <x v="1"/>
    <x v="2"/>
    <x v="1208"/>
    <x v="1266"/>
    <x v="0"/>
    <s v="Y"/>
    <s v="Yes"/>
    <x v="3"/>
    <x v="0"/>
    <n v="3"/>
    <x v="0"/>
    <n v="1"/>
    <x v="23"/>
    <n v="4"/>
    <x v="1"/>
    <x v="14"/>
    <x v="14"/>
    <x v="15"/>
    <x v="13"/>
  </r>
  <r>
    <x v="32"/>
    <x v="1"/>
    <s v="Travel_Rarely"/>
    <n v="750"/>
    <x v="1"/>
    <n v="12"/>
    <n v="3"/>
    <s v="Life Sciences"/>
    <n v="1"/>
    <n v="1829"/>
    <x v="0"/>
    <x v="0"/>
    <x v="35"/>
    <x v="0"/>
    <x v="0"/>
    <x v="4"/>
    <x v="3"/>
    <x v="2"/>
    <x v="1209"/>
    <x v="1267"/>
    <x v="7"/>
    <s v="Y"/>
    <s v="No"/>
    <x v="3"/>
    <x v="0"/>
    <n v="2"/>
    <x v="0"/>
    <n v="1"/>
    <x v="20"/>
    <n v="3"/>
    <x v="1"/>
    <x v="5"/>
    <x v="0"/>
    <x v="4"/>
    <x v="1"/>
  </r>
  <r>
    <x v="33"/>
    <x v="1"/>
    <s v="Travel_Rarely"/>
    <n v="431"/>
    <x v="1"/>
    <n v="7"/>
    <n v="4"/>
    <s v="Medical"/>
    <n v="1"/>
    <n v="1830"/>
    <x v="2"/>
    <x v="0"/>
    <x v="67"/>
    <x v="0"/>
    <x v="0"/>
    <x v="1"/>
    <x v="0"/>
    <x v="1"/>
    <x v="1210"/>
    <x v="1268"/>
    <x v="5"/>
    <s v="Y"/>
    <s v="No"/>
    <x v="2"/>
    <x v="0"/>
    <n v="2"/>
    <x v="0"/>
    <n v="1"/>
    <x v="19"/>
    <n v="2"/>
    <x v="2"/>
    <x v="5"/>
    <x v="10"/>
    <x v="1"/>
    <x v="1"/>
  </r>
  <r>
    <x v="12"/>
    <x v="1"/>
    <s v="Travel_Frequently"/>
    <n v="1125"/>
    <x v="0"/>
    <n v="7"/>
    <n v="4"/>
    <s v="Marketing"/>
    <n v="1"/>
    <n v="1833"/>
    <x v="3"/>
    <x v="0"/>
    <x v="67"/>
    <x v="0"/>
    <x v="2"/>
    <x v="0"/>
    <x v="3"/>
    <x v="1"/>
    <x v="1211"/>
    <x v="1269"/>
    <x v="7"/>
    <s v="Y"/>
    <s v="No"/>
    <x v="9"/>
    <x v="0"/>
    <n v="4"/>
    <x v="0"/>
    <n v="2"/>
    <x v="15"/>
    <n v="3"/>
    <x v="1"/>
    <x v="11"/>
    <x v="3"/>
    <x v="3"/>
    <x v="3"/>
  </r>
  <r>
    <x v="14"/>
    <x v="1"/>
    <s v="Travel_Rarely"/>
    <n v="1217"/>
    <x v="1"/>
    <n v="1"/>
    <n v="3"/>
    <s v="Medical"/>
    <n v="1"/>
    <n v="1834"/>
    <x v="1"/>
    <x v="0"/>
    <x v="7"/>
    <x v="0"/>
    <x v="1"/>
    <x v="1"/>
    <x v="3"/>
    <x v="1"/>
    <x v="1212"/>
    <x v="1270"/>
    <x v="1"/>
    <s v="Y"/>
    <s v="No"/>
    <x v="14"/>
    <x v="1"/>
    <n v="3"/>
    <x v="0"/>
    <n v="1"/>
    <x v="8"/>
    <n v="3"/>
    <x v="1"/>
    <x v="11"/>
    <x v="3"/>
    <x v="1"/>
    <x v="3"/>
  </r>
  <r>
    <x v="8"/>
    <x v="1"/>
    <s v="Travel_Rarely"/>
    <n v="723"/>
    <x v="0"/>
    <n v="2"/>
    <n v="4"/>
    <s v="Marketing"/>
    <n v="1"/>
    <n v="1835"/>
    <x v="0"/>
    <x v="0"/>
    <x v="57"/>
    <x v="3"/>
    <x v="0"/>
    <x v="6"/>
    <x v="0"/>
    <x v="1"/>
    <x v="517"/>
    <x v="1271"/>
    <x v="7"/>
    <s v="Y"/>
    <s v="Yes"/>
    <x v="5"/>
    <x v="1"/>
    <n v="1"/>
    <x v="0"/>
    <n v="2"/>
    <x v="26"/>
    <n v="4"/>
    <x v="2"/>
    <x v="9"/>
    <x v="3"/>
    <x v="0"/>
    <x v="6"/>
  </r>
  <r>
    <x v="25"/>
    <x v="1"/>
    <s v="Travel_Rarely"/>
    <n v="572"/>
    <x v="0"/>
    <n v="10"/>
    <n v="3"/>
    <s v="Medical"/>
    <n v="1"/>
    <n v="1836"/>
    <x v="1"/>
    <x v="1"/>
    <x v="55"/>
    <x v="0"/>
    <x v="0"/>
    <x v="0"/>
    <x v="0"/>
    <x v="0"/>
    <x v="1213"/>
    <x v="1272"/>
    <x v="1"/>
    <s v="Y"/>
    <s v="No"/>
    <x v="4"/>
    <x v="0"/>
    <n v="1"/>
    <x v="0"/>
    <n v="0"/>
    <x v="7"/>
    <n v="4"/>
    <x v="1"/>
    <x v="8"/>
    <x v="7"/>
    <x v="1"/>
    <x v="3"/>
  </r>
  <r>
    <x v="34"/>
    <x v="1"/>
    <s v="Travel_Frequently"/>
    <n v="1216"/>
    <x v="1"/>
    <n v="15"/>
    <n v="4"/>
    <s v="Life Sciences"/>
    <n v="1"/>
    <n v="1837"/>
    <x v="3"/>
    <x v="1"/>
    <x v="44"/>
    <x v="0"/>
    <x v="3"/>
    <x v="7"/>
    <x v="2"/>
    <x v="1"/>
    <x v="1214"/>
    <x v="1273"/>
    <x v="7"/>
    <s v="Y"/>
    <s v="Yes"/>
    <x v="9"/>
    <x v="0"/>
    <n v="2"/>
    <x v="0"/>
    <n v="0"/>
    <x v="18"/>
    <n v="3"/>
    <x v="1"/>
    <x v="4"/>
    <x v="3"/>
    <x v="3"/>
    <x v="3"/>
  </r>
  <r>
    <x v="41"/>
    <x v="1"/>
    <s v="Non-Travel"/>
    <n v="1431"/>
    <x v="1"/>
    <n v="14"/>
    <n v="3"/>
    <s v="Medical"/>
    <n v="1"/>
    <n v="1839"/>
    <x v="0"/>
    <x v="0"/>
    <x v="30"/>
    <x v="0"/>
    <x v="1"/>
    <x v="1"/>
    <x v="2"/>
    <x v="0"/>
    <x v="1215"/>
    <x v="1274"/>
    <x v="1"/>
    <s v="Y"/>
    <s v="No"/>
    <x v="10"/>
    <x v="0"/>
    <n v="3"/>
    <x v="0"/>
    <n v="0"/>
    <x v="11"/>
    <n v="4"/>
    <x v="0"/>
    <x v="2"/>
    <x v="2"/>
    <x v="0"/>
    <x v="2"/>
  </r>
  <r>
    <x v="12"/>
    <x v="0"/>
    <s v="Travel_Rarely"/>
    <n v="359"/>
    <x v="2"/>
    <n v="18"/>
    <n v="5"/>
    <s v="Human Resources"/>
    <n v="1"/>
    <n v="1842"/>
    <x v="2"/>
    <x v="1"/>
    <x v="66"/>
    <x v="2"/>
    <x v="1"/>
    <x v="8"/>
    <x v="3"/>
    <x v="1"/>
    <x v="98"/>
    <x v="1275"/>
    <x v="4"/>
    <s v="Y"/>
    <s v="No"/>
    <x v="8"/>
    <x v="0"/>
    <n v="3"/>
    <x v="0"/>
    <n v="0"/>
    <x v="17"/>
    <n v="4"/>
    <x v="1"/>
    <x v="6"/>
    <x v="2"/>
    <x v="0"/>
    <x v="2"/>
  </r>
  <r>
    <x v="11"/>
    <x v="0"/>
    <s v="Travel_Rarely"/>
    <n v="350"/>
    <x v="2"/>
    <n v="13"/>
    <n v="3"/>
    <s v="Human Resources"/>
    <n v="1"/>
    <n v="1844"/>
    <x v="3"/>
    <x v="1"/>
    <x v="3"/>
    <x v="1"/>
    <x v="1"/>
    <x v="8"/>
    <x v="3"/>
    <x v="2"/>
    <x v="1216"/>
    <x v="1276"/>
    <x v="5"/>
    <s v="Y"/>
    <s v="Yes"/>
    <x v="2"/>
    <x v="0"/>
    <n v="4"/>
    <x v="0"/>
    <n v="3"/>
    <x v="21"/>
    <n v="3"/>
    <x v="1"/>
    <x v="4"/>
    <x v="3"/>
    <x v="3"/>
    <x v="2"/>
  </r>
  <r>
    <x v="28"/>
    <x v="1"/>
    <s v="Non-Travel"/>
    <n v="589"/>
    <x v="0"/>
    <n v="2"/>
    <n v="4"/>
    <s v="Life Sciences"/>
    <n v="1"/>
    <n v="1845"/>
    <x v="1"/>
    <x v="0"/>
    <x v="7"/>
    <x v="0"/>
    <x v="0"/>
    <x v="0"/>
    <x v="2"/>
    <x v="1"/>
    <x v="1217"/>
    <x v="1277"/>
    <x v="5"/>
    <s v="Y"/>
    <s v="No"/>
    <x v="6"/>
    <x v="1"/>
    <n v="2"/>
    <x v="0"/>
    <n v="2"/>
    <x v="1"/>
    <n v="3"/>
    <x v="3"/>
    <x v="3"/>
    <x v="1"/>
    <x v="8"/>
    <x v="1"/>
  </r>
  <r>
    <x v="9"/>
    <x v="1"/>
    <s v="Travel_Rarely"/>
    <n v="430"/>
    <x v="1"/>
    <n v="2"/>
    <n v="4"/>
    <s v="Other"/>
    <n v="1"/>
    <n v="1847"/>
    <x v="2"/>
    <x v="0"/>
    <x v="32"/>
    <x v="0"/>
    <x v="0"/>
    <x v="1"/>
    <x v="1"/>
    <x v="1"/>
    <x v="1218"/>
    <x v="1278"/>
    <x v="5"/>
    <s v="Y"/>
    <s v="Yes"/>
    <x v="6"/>
    <x v="1"/>
    <n v="4"/>
    <x v="0"/>
    <n v="1"/>
    <x v="20"/>
    <n v="2"/>
    <x v="1"/>
    <x v="6"/>
    <x v="2"/>
    <x v="0"/>
    <x v="2"/>
  </r>
  <r>
    <x v="23"/>
    <x v="1"/>
    <s v="Travel_Frequently"/>
    <n v="1422"/>
    <x v="0"/>
    <n v="2"/>
    <n v="4"/>
    <s v="Life Sciences"/>
    <n v="1"/>
    <n v="1849"/>
    <x v="3"/>
    <x v="1"/>
    <x v="2"/>
    <x v="0"/>
    <x v="0"/>
    <x v="0"/>
    <x v="0"/>
    <x v="1"/>
    <x v="1219"/>
    <x v="1279"/>
    <x v="1"/>
    <s v="Y"/>
    <s v="No"/>
    <x v="5"/>
    <x v="1"/>
    <n v="3"/>
    <x v="0"/>
    <n v="1"/>
    <x v="2"/>
    <n v="5"/>
    <x v="1"/>
    <x v="5"/>
    <x v="1"/>
    <x v="4"/>
    <x v="1"/>
  </r>
  <r>
    <x v="4"/>
    <x v="1"/>
    <s v="Travel_Frequently"/>
    <n v="1297"/>
    <x v="1"/>
    <n v="5"/>
    <n v="2"/>
    <s v="Life Sciences"/>
    <n v="1"/>
    <n v="1850"/>
    <x v="2"/>
    <x v="0"/>
    <x v="20"/>
    <x v="0"/>
    <x v="1"/>
    <x v="2"/>
    <x v="0"/>
    <x v="0"/>
    <x v="1220"/>
    <x v="1280"/>
    <x v="4"/>
    <s v="Y"/>
    <s v="Yes"/>
    <x v="9"/>
    <x v="0"/>
    <n v="3"/>
    <x v="0"/>
    <n v="0"/>
    <x v="3"/>
    <n v="3"/>
    <x v="2"/>
    <x v="8"/>
    <x v="0"/>
    <x v="0"/>
    <x v="3"/>
  </r>
  <r>
    <x v="11"/>
    <x v="1"/>
    <s v="Travel_Frequently"/>
    <n v="574"/>
    <x v="1"/>
    <n v="20"/>
    <n v="1"/>
    <s v="Medical"/>
    <n v="1"/>
    <n v="1852"/>
    <x v="2"/>
    <x v="1"/>
    <x v="4"/>
    <x v="0"/>
    <x v="1"/>
    <x v="2"/>
    <x v="0"/>
    <x v="1"/>
    <x v="1221"/>
    <x v="1281"/>
    <x v="1"/>
    <s v="Y"/>
    <s v="No"/>
    <x v="4"/>
    <x v="0"/>
    <n v="2"/>
    <x v="0"/>
    <n v="0"/>
    <x v="27"/>
    <n v="3"/>
    <x v="3"/>
    <x v="19"/>
    <x v="6"/>
    <x v="2"/>
    <x v="13"/>
  </r>
  <r>
    <x v="5"/>
    <x v="1"/>
    <s v="Travel_Frequently"/>
    <n v="1318"/>
    <x v="0"/>
    <n v="10"/>
    <n v="4"/>
    <s v="Marketing"/>
    <n v="1"/>
    <n v="1853"/>
    <x v="2"/>
    <x v="1"/>
    <x v="5"/>
    <x v="0"/>
    <x v="0"/>
    <x v="0"/>
    <x v="0"/>
    <x v="0"/>
    <x v="1222"/>
    <x v="1282"/>
    <x v="0"/>
    <s v="Y"/>
    <s v="No"/>
    <x v="4"/>
    <x v="0"/>
    <n v="3"/>
    <x v="0"/>
    <n v="0"/>
    <x v="21"/>
    <n v="2"/>
    <x v="3"/>
    <x v="2"/>
    <x v="2"/>
    <x v="0"/>
    <x v="2"/>
  </r>
  <r>
    <x v="19"/>
    <x v="1"/>
    <s v="Non-Travel"/>
    <n v="355"/>
    <x v="1"/>
    <n v="10"/>
    <n v="4"/>
    <s v="Technical Degree"/>
    <n v="1"/>
    <n v="1854"/>
    <x v="1"/>
    <x v="1"/>
    <x v="70"/>
    <x v="0"/>
    <x v="1"/>
    <x v="1"/>
    <x v="2"/>
    <x v="1"/>
    <x v="808"/>
    <x v="1283"/>
    <x v="9"/>
    <s v="Y"/>
    <s v="No"/>
    <x v="6"/>
    <x v="1"/>
    <n v="2"/>
    <x v="0"/>
    <n v="2"/>
    <x v="1"/>
    <n v="1"/>
    <x v="2"/>
    <x v="0"/>
    <x v="7"/>
    <x v="2"/>
    <x v="6"/>
  </r>
  <r>
    <x v="40"/>
    <x v="1"/>
    <s v="Travel_Rarely"/>
    <n v="207"/>
    <x v="1"/>
    <n v="9"/>
    <n v="4"/>
    <s v="Life Sciences"/>
    <n v="1"/>
    <n v="1856"/>
    <x v="0"/>
    <x v="0"/>
    <x v="51"/>
    <x v="0"/>
    <x v="1"/>
    <x v="2"/>
    <x v="2"/>
    <x v="0"/>
    <x v="1223"/>
    <x v="1284"/>
    <x v="5"/>
    <s v="Y"/>
    <s v="No"/>
    <x v="3"/>
    <x v="0"/>
    <n v="3"/>
    <x v="0"/>
    <n v="0"/>
    <x v="2"/>
    <n v="2"/>
    <x v="1"/>
    <x v="4"/>
    <x v="3"/>
    <x v="3"/>
    <x v="2"/>
  </r>
  <r>
    <x v="21"/>
    <x v="1"/>
    <s v="Travel_Rarely"/>
    <n v="706"/>
    <x v="1"/>
    <n v="2"/>
    <n v="2"/>
    <s v="Life Sciences"/>
    <n v="1"/>
    <n v="1857"/>
    <x v="2"/>
    <x v="1"/>
    <x v="19"/>
    <x v="0"/>
    <x v="2"/>
    <x v="3"/>
    <x v="0"/>
    <x v="2"/>
    <x v="1224"/>
    <x v="1285"/>
    <x v="9"/>
    <s v="Y"/>
    <s v="No"/>
    <x v="9"/>
    <x v="0"/>
    <n v="3"/>
    <x v="0"/>
    <n v="1"/>
    <x v="4"/>
    <n v="4"/>
    <x v="2"/>
    <x v="7"/>
    <x v="6"/>
    <x v="5"/>
    <x v="1"/>
  </r>
  <r>
    <x v="14"/>
    <x v="1"/>
    <s v="Non-Travel"/>
    <n v="280"/>
    <x v="2"/>
    <n v="1"/>
    <n v="2"/>
    <s v="Life Sciences"/>
    <n v="1"/>
    <n v="1858"/>
    <x v="1"/>
    <x v="1"/>
    <x v="38"/>
    <x v="0"/>
    <x v="1"/>
    <x v="8"/>
    <x v="0"/>
    <x v="2"/>
    <x v="1225"/>
    <x v="1006"/>
    <x v="1"/>
    <s v="Y"/>
    <s v="No"/>
    <x v="2"/>
    <x v="0"/>
    <n v="2"/>
    <x v="0"/>
    <n v="1"/>
    <x v="8"/>
    <n v="2"/>
    <x v="1"/>
    <x v="11"/>
    <x v="3"/>
    <x v="3"/>
    <x v="3"/>
  </r>
  <r>
    <x v="11"/>
    <x v="1"/>
    <s v="Travel_Rarely"/>
    <n v="726"/>
    <x v="1"/>
    <n v="29"/>
    <n v="1"/>
    <s v="Life Sciences"/>
    <n v="1"/>
    <n v="1859"/>
    <x v="2"/>
    <x v="1"/>
    <x v="12"/>
    <x v="3"/>
    <x v="0"/>
    <x v="4"/>
    <x v="2"/>
    <x v="2"/>
    <x v="1226"/>
    <x v="1286"/>
    <x v="0"/>
    <s v="Y"/>
    <s v="No"/>
    <x v="8"/>
    <x v="0"/>
    <n v="4"/>
    <x v="0"/>
    <n v="2"/>
    <x v="27"/>
    <n v="3"/>
    <x v="1"/>
    <x v="5"/>
    <x v="2"/>
    <x v="1"/>
    <x v="4"/>
  </r>
  <r>
    <x v="19"/>
    <x v="1"/>
    <s v="Travel_Rarely"/>
    <n v="1142"/>
    <x v="1"/>
    <n v="8"/>
    <n v="3"/>
    <s v="Life Sciences"/>
    <n v="1"/>
    <n v="1860"/>
    <x v="2"/>
    <x v="1"/>
    <x v="6"/>
    <x v="0"/>
    <x v="1"/>
    <x v="2"/>
    <x v="2"/>
    <x v="0"/>
    <x v="1227"/>
    <x v="1287"/>
    <x v="5"/>
    <s v="Y"/>
    <s v="No"/>
    <x v="4"/>
    <x v="0"/>
    <n v="4"/>
    <x v="0"/>
    <n v="0"/>
    <x v="0"/>
    <n v="3"/>
    <x v="1"/>
    <x v="2"/>
    <x v="2"/>
    <x v="0"/>
    <x v="2"/>
  </r>
  <r>
    <x v="5"/>
    <x v="0"/>
    <s v="Travel_Rarely"/>
    <n v="414"/>
    <x v="0"/>
    <n v="2"/>
    <n v="4"/>
    <s v="Marketing"/>
    <n v="1"/>
    <n v="1862"/>
    <x v="1"/>
    <x v="1"/>
    <x v="19"/>
    <x v="1"/>
    <x v="0"/>
    <x v="0"/>
    <x v="1"/>
    <x v="0"/>
    <x v="1228"/>
    <x v="1288"/>
    <x v="8"/>
    <s v="Y"/>
    <s v="Yes"/>
    <x v="3"/>
    <x v="0"/>
    <n v="3"/>
    <x v="0"/>
    <n v="0"/>
    <x v="2"/>
    <n v="3"/>
    <x v="2"/>
    <x v="4"/>
    <x v="3"/>
    <x v="3"/>
    <x v="3"/>
  </r>
  <r>
    <x v="21"/>
    <x v="1"/>
    <s v="Travel_Rarely"/>
    <n v="1319"/>
    <x v="0"/>
    <n v="3"/>
    <n v="3"/>
    <s v="Technical Degree"/>
    <n v="1"/>
    <n v="1863"/>
    <x v="3"/>
    <x v="0"/>
    <x v="18"/>
    <x v="2"/>
    <x v="3"/>
    <x v="0"/>
    <x v="3"/>
    <x v="2"/>
    <x v="1229"/>
    <x v="1289"/>
    <x v="7"/>
    <s v="Y"/>
    <s v="No"/>
    <x v="3"/>
    <x v="0"/>
    <n v="4"/>
    <x v="0"/>
    <n v="1"/>
    <x v="25"/>
    <n v="5"/>
    <x v="1"/>
    <x v="27"/>
    <x v="18"/>
    <x v="3"/>
    <x v="5"/>
  </r>
  <r>
    <x v="4"/>
    <x v="1"/>
    <s v="Travel_Rarely"/>
    <n v="728"/>
    <x v="0"/>
    <n v="23"/>
    <n v="1"/>
    <s v="Medical"/>
    <n v="1"/>
    <n v="1864"/>
    <x v="0"/>
    <x v="0"/>
    <x v="34"/>
    <x v="1"/>
    <x v="0"/>
    <x v="6"/>
    <x v="2"/>
    <x v="1"/>
    <x v="1230"/>
    <x v="1290"/>
    <x v="1"/>
    <s v="Y"/>
    <s v="No"/>
    <x v="7"/>
    <x v="1"/>
    <n v="4"/>
    <x v="0"/>
    <n v="1"/>
    <x v="15"/>
    <n v="5"/>
    <x v="1"/>
    <x v="7"/>
    <x v="6"/>
    <x v="8"/>
    <x v="5"/>
  </r>
  <r>
    <x v="11"/>
    <x v="1"/>
    <s v="Travel_Rarely"/>
    <n v="352"/>
    <x v="2"/>
    <n v="6"/>
    <n v="1"/>
    <s v="Medical"/>
    <n v="1"/>
    <n v="1865"/>
    <x v="2"/>
    <x v="1"/>
    <x v="44"/>
    <x v="1"/>
    <x v="1"/>
    <x v="8"/>
    <x v="1"/>
    <x v="1"/>
    <x v="1231"/>
    <x v="1291"/>
    <x v="1"/>
    <s v="Y"/>
    <s v="No"/>
    <x v="0"/>
    <x v="0"/>
    <n v="4"/>
    <x v="0"/>
    <n v="0"/>
    <x v="5"/>
    <n v="3"/>
    <x v="1"/>
    <x v="6"/>
    <x v="2"/>
    <x v="0"/>
    <x v="2"/>
  </r>
  <r>
    <x v="23"/>
    <x v="1"/>
    <s v="Travel_Rarely"/>
    <n v="823"/>
    <x v="1"/>
    <n v="6"/>
    <n v="3"/>
    <s v="Medical"/>
    <n v="1"/>
    <n v="1866"/>
    <x v="3"/>
    <x v="0"/>
    <x v="6"/>
    <x v="1"/>
    <x v="4"/>
    <x v="5"/>
    <x v="2"/>
    <x v="1"/>
    <x v="1232"/>
    <x v="1292"/>
    <x v="8"/>
    <s v="Y"/>
    <s v="No"/>
    <x v="4"/>
    <x v="0"/>
    <n v="4"/>
    <x v="0"/>
    <n v="0"/>
    <x v="24"/>
    <n v="2"/>
    <x v="1"/>
    <x v="22"/>
    <x v="16"/>
    <x v="7"/>
    <x v="17"/>
  </r>
  <r>
    <x v="26"/>
    <x v="1"/>
    <s v="Travel_Rarely"/>
    <n v="1224"/>
    <x v="1"/>
    <n v="10"/>
    <n v="3"/>
    <s v="Life Sciences"/>
    <n v="1"/>
    <n v="1867"/>
    <x v="2"/>
    <x v="1"/>
    <x v="59"/>
    <x v="1"/>
    <x v="4"/>
    <x v="7"/>
    <x v="1"/>
    <x v="1"/>
    <x v="1233"/>
    <x v="1293"/>
    <x v="5"/>
    <s v="Y"/>
    <s v="No"/>
    <x v="3"/>
    <x v="0"/>
    <n v="4"/>
    <x v="0"/>
    <n v="0"/>
    <x v="22"/>
    <n v="3"/>
    <x v="1"/>
    <x v="14"/>
    <x v="15"/>
    <x v="12"/>
    <x v="12"/>
  </r>
  <r>
    <x v="11"/>
    <x v="0"/>
    <s v="Travel_Frequently"/>
    <n v="459"/>
    <x v="1"/>
    <n v="24"/>
    <n v="2"/>
    <s v="Life Sciences"/>
    <n v="1"/>
    <n v="1868"/>
    <x v="2"/>
    <x v="1"/>
    <x v="32"/>
    <x v="1"/>
    <x v="1"/>
    <x v="1"/>
    <x v="0"/>
    <x v="0"/>
    <x v="1234"/>
    <x v="1294"/>
    <x v="1"/>
    <s v="Y"/>
    <s v="Yes"/>
    <x v="13"/>
    <x v="1"/>
    <n v="2"/>
    <x v="0"/>
    <n v="0"/>
    <x v="5"/>
    <n v="3"/>
    <x v="2"/>
    <x v="6"/>
    <x v="2"/>
    <x v="1"/>
    <x v="2"/>
  </r>
  <r>
    <x v="21"/>
    <x v="0"/>
    <s v="Travel_Rarely"/>
    <n v="1254"/>
    <x v="0"/>
    <n v="10"/>
    <n v="3"/>
    <s v="Life Sciences"/>
    <n v="1"/>
    <n v="1869"/>
    <x v="1"/>
    <x v="0"/>
    <x v="51"/>
    <x v="0"/>
    <x v="2"/>
    <x v="0"/>
    <x v="1"/>
    <x v="1"/>
    <x v="1235"/>
    <x v="1295"/>
    <x v="6"/>
    <s v="Y"/>
    <s v="No"/>
    <x v="7"/>
    <x v="1"/>
    <n v="3"/>
    <x v="0"/>
    <n v="3"/>
    <x v="19"/>
    <n v="2"/>
    <x v="1"/>
    <x v="3"/>
    <x v="1"/>
    <x v="0"/>
    <x v="1"/>
  </r>
  <r>
    <x v="4"/>
    <x v="1"/>
    <s v="Travel_Frequently"/>
    <n v="1131"/>
    <x v="1"/>
    <n v="15"/>
    <n v="3"/>
    <s v="Life Sciences"/>
    <n v="1"/>
    <n v="1870"/>
    <x v="2"/>
    <x v="0"/>
    <x v="57"/>
    <x v="1"/>
    <x v="1"/>
    <x v="1"/>
    <x v="3"/>
    <x v="1"/>
    <x v="1236"/>
    <x v="1296"/>
    <x v="4"/>
    <s v="Y"/>
    <s v="No"/>
    <x v="12"/>
    <x v="0"/>
    <n v="4"/>
    <x v="0"/>
    <n v="1"/>
    <x v="0"/>
    <n v="2"/>
    <x v="2"/>
    <x v="5"/>
    <x v="8"/>
    <x v="4"/>
    <x v="6"/>
  </r>
  <r>
    <x v="22"/>
    <x v="1"/>
    <s v="Travel_Rarely"/>
    <n v="835"/>
    <x v="1"/>
    <n v="19"/>
    <n v="4"/>
    <s v="Other"/>
    <n v="1"/>
    <n v="1871"/>
    <x v="2"/>
    <x v="1"/>
    <x v="26"/>
    <x v="0"/>
    <x v="0"/>
    <x v="1"/>
    <x v="0"/>
    <x v="2"/>
    <x v="1237"/>
    <x v="1297"/>
    <x v="0"/>
    <s v="Y"/>
    <s v="No"/>
    <x v="9"/>
    <x v="0"/>
    <n v="2"/>
    <x v="0"/>
    <n v="3"/>
    <x v="2"/>
    <n v="2"/>
    <x v="1"/>
    <x v="4"/>
    <x v="3"/>
    <x v="3"/>
    <x v="3"/>
  </r>
  <r>
    <x v="27"/>
    <x v="1"/>
    <s v="Travel_Rarely"/>
    <n v="836"/>
    <x v="1"/>
    <n v="2"/>
    <n v="4"/>
    <s v="Technical Degree"/>
    <n v="1"/>
    <n v="1873"/>
    <x v="0"/>
    <x v="1"/>
    <x v="33"/>
    <x v="1"/>
    <x v="1"/>
    <x v="1"/>
    <x v="0"/>
    <x v="1"/>
    <x v="1238"/>
    <x v="1298"/>
    <x v="0"/>
    <s v="Y"/>
    <s v="No"/>
    <x v="5"/>
    <x v="1"/>
    <n v="2"/>
    <x v="0"/>
    <n v="1"/>
    <x v="16"/>
    <n v="2"/>
    <x v="3"/>
    <x v="8"/>
    <x v="3"/>
    <x v="0"/>
    <x v="10"/>
  </r>
  <r>
    <x v="14"/>
    <x v="1"/>
    <s v="Travel_Rarely"/>
    <n v="1172"/>
    <x v="0"/>
    <n v="3"/>
    <n v="3"/>
    <s v="Medical"/>
    <n v="1"/>
    <n v="1875"/>
    <x v="0"/>
    <x v="0"/>
    <x v="17"/>
    <x v="0"/>
    <x v="1"/>
    <x v="6"/>
    <x v="1"/>
    <x v="1"/>
    <x v="1239"/>
    <x v="1299"/>
    <x v="1"/>
    <s v="Y"/>
    <s v="No"/>
    <x v="12"/>
    <x v="0"/>
    <n v="4"/>
    <x v="0"/>
    <n v="1"/>
    <x v="5"/>
    <n v="3"/>
    <x v="1"/>
    <x v="6"/>
    <x v="2"/>
    <x v="0"/>
    <x v="2"/>
  </r>
  <r>
    <x v="7"/>
    <x v="0"/>
    <s v="Travel_Rarely"/>
    <n v="945"/>
    <x v="0"/>
    <n v="9"/>
    <n v="3"/>
    <s v="Medical"/>
    <n v="1"/>
    <n v="1876"/>
    <x v="0"/>
    <x v="1"/>
    <x v="66"/>
    <x v="0"/>
    <x v="1"/>
    <x v="6"/>
    <x v="0"/>
    <x v="0"/>
    <x v="1240"/>
    <x v="1300"/>
    <x v="1"/>
    <s v="Y"/>
    <s v="No"/>
    <x v="4"/>
    <x v="0"/>
    <n v="3"/>
    <x v="0"/>
    <n v="0"/>
    <x v="5"/>
    <n v="3"/>
    <x v="2"/>
    <x v="6"/>
    <x v="2"/>
    <x v="0"/>
    <x v="2"/>
  </r>
  <r>
    <x v="15"/>
    <x v="0"/>
    <s v="Travel_Rarely"/>
    <n v="391"/>
    <x v="1"/>
    <n v="7"/>
    <n v="1"/>
    <s v="Life Sciences"/>
    <n v="1"/>
    <n v="1878"/>
    <x v="2"/>
    <x v="1"/>
    <x v="29"/>
    <x v="0"/>
    <x v="1"/>
    <x v="1"/>
    <x v="1"/>
    <x v="0"/>
    <x v="1241"/>
    <x v="1301"/>
    <x v="1"/>
    <s v="Y"/>
    <s v="Yes"/>
    <x v="1"/>
    <x v="1"/>
    <n v="1"/>
    <x v="0"/>
    <n v="0"/>
    <x v="5"/>
    <n v="2"/>
    <x v="1"/>
    <x v="6"/>
    <x v="2"/>
    <x v="0"/>
    <x v="2"/>
  </r>
  <r>
    <x v="9"/>
    <x v="1"/>
    <s v="Travel_Rarely"/>
    <n v="1266"/>
    <x v="0"/>
    <n v="10"/>
    <n v="4"/>
    <s v="Technical Degree"/>
    <n v="1"/>
    <n v="1880"/>
    <x v="0"/>
    <x v="0"/>
    <x v="52"/>
    <x v="1"/>
    <x v="0"/>
    <x v="0"/>
    <x v="2"/>
    <x v="1"/>
    <x v="1242"/>
    <x v="1302"/>
    <x v="1"/>
    <s v="Y"/>
    <s v="Yes"/>
    <x v="4"/>
    <x v="0"/>
    <n v="1"/>
    <x v="0"/>
    <n v="1"/>
    <x v="1"/>
    <n v="4"/>
    <x v="1"/>
    <x v="1"/>
    <x v="5"/>
    <x v="1"/>
    <x v="1"/>
  </r>
  <r>
    <x v="12"/>
    <x v="1"/>
    <s v="Travel_Rarely"/>
    <n v="311"/>
    <x v="1"/>
    <n v="20"/>
    <n v="3"/>
    <s v="Life Sciences"/>
    <n v="1"/>
    <n v="1881"/>
    <x v="0"/>
    <x v="1"/>
    <x v="66"/>
    <x v="0"/>
    <x v="0"/>
    <x v="2"/>
    <x v="2"/>
    <x v="2"/>
    <x v="378"/>
    <x v="1303"/>
    <x v="1"/>
    <s v="Y"/>
    <s v="No"/>
    <x v="0"/>
    <x v="0"/>
    <n v="1"/>
    <x v="0"/>
    <n v="1"/>
    <x v="1"/>
    <n v="2"/>
    <x v="1"/>
    <x v="1"/>
    <x v="6"/>
    <x v="0"/>
    <x v="3"/>
  </r>
  <r>
    <x v="13"/>
    <x v="1"/>
    <s v="Travel_Rarely"/>
    <n v="1480"/>
    <x v="0"/>
    <n v="4"/>
    <n v="3"/>
    <s v="Life Sciences"/>
    <n v="1"/>
    <n v="1882"/>
    <x v="1"/>
    <x v="1"/>
    <x v="51"/>
    <x v="0"/>
    <x v="2"/>
    <x v="0"/>
    <x v="0"/>
    <x v="1"/>
    <x v="1243"/>
    <x v="493"/>
    <x v="7"/>
    <s v="Y"/>
    <s v="Yes"/>
    <x v="4"/>
    <x v="0"/>
    <n v="4"/>
    <x v="0"/>
    <n v="3"/>
    <x v="15"/>
    <n v="3"/>
    <x v="1"/>
    <x v="8"/>
    <x v="7"/>
    <x v="1"/>
    <x v="2"/>
  </r>
  <r>
    <x v="11"/>
    <x v="1"/>
    <s v="Travel_Rarely"/>
    <n v="592"/>
    <x v="1"/>
    <n v="7"/>
    <n v="3"/>
    <s v="Life Sciences"/>
    <n v="1"/>
    <n v="1883"/>
    <x v="2"/>
    <x v="1"/>
    <x v="40"/>
    <x v="0"/>
    <x v="1"/>
    <x v="2"/>
    <x v="3"/>
    <x v="0"/>
    <x v="1244"/>
    <x v="1304"/>
    <x v="9"/>
    <s v="Y"/>
    <s v="No"/>
    <x v="9"/>
    <x v="0"/>
    <n v="2"/>
    <x v="0"/>
    <n v="0"/>
    <x v="27"/>
    <n v="2"/>
    <x v="1"/>
    <x v="11"/>
    <x v="3"/>
    <x v="1"/>
    <x v="3"/>
  </r>
  <r>
    <x v="2"/>
    <x v="1"/>
    <s v="Travel_Rarely"/>
    <n v="783"/>
    <x v="1"/>
    <n v="7"/>
    <n v="4"/>
    <s v="Medical"/>
    <n v="1"/>
    <n v="1885"/>
    <x v="2"/>
    <x v="1"/>
    <x v="17"/>
    <x v="0"/>
    <x v="0"/>
    <x v="1"/>
    <x v="3"/>
    <x v="1"/>
    <x v="948"/>
    <x v="1305"/>
    <x v="6"/>
    <s v="Y"/>
    <s v="Yes"/>
    <x v="6"/>
    <x v="1"/>
    <n v="3"/>
    <x v="0"/>
    <n v="1"/>
    <x v="28"/>
    <n v="2"/>
    <x v="1"/>
    <x v="8"/>
    <x v="7"/>
    <x v="0"/>
    <x v="10"/>
  </r>
  <r>
    <x v="10"/>
    <x v="1"/>
    <s v="Travel_Rarely"/>
    <n v="219"/>
    <x v="1"/>
    <n v="16"/>
    <n v="2"/>
    <s v="Other"/>
    <n v="1"/>
    <n v="1886"/>
    <x v="2"/>
    <x v="0"/>
    <x v="8"/>
    <x v="1"/>
    <x v="0"/>
    <x v="3"/>
    <x v="1"/>
    <x v="1"/>
    <x v="1245"/>
    <x v="1306"/>
    <x v="4"/>
    <s v="Y"/>
    <s v="Yes"/>
    <x v="0"/>
    <x v="0"/>
    <n v="4"/>
    <x v="0"/>
    <n v="0"/>
    <x v="21"/>
    <n v="2"/>
    <x v="1"/>
    <x v="11"/>
    <x v="3"/>
    <x v="0"/>
    <x v="3"/>
  </r>
  <r>
    <x v="28"/>
    <x v="1"/>
    <s v="Travel_Rarely"/>
    <n v="556"/>
    <x v="1"/>
    <n v="25"/>
    <n v="2"/>
    <s v="Life Sciences"/>
    <n v="1"/>
    <n v="1888"/>
    <x v="0"/>
    <x v="0"/>
    <x v="12"/>
    <x v="1"/>
    <x v="0"/>
    <x v="3"/>
    <x v="0"/>
    <x v="1"/>
    <x v="1246"/>
    <x v="1307"/>
    <x v="4"/>
    <s v="Y"/>
    <s v="No"/>
    <x v="4"/>
    <x v="0"/>
    <n v="4"/>
    <x v="0"/>
    <n v="2"/>
    <x v="1"/>
    <n v="2"/>
    <x v="2"/>
    <x v="7"/>
    <x v="6"/>
    <x v="2"/>
    <x v="5"/>
  </r>
  <r>
    <x v="9"/>
    <x v="1"/>
    <s v="Travel_Frequently"/>
    <n v="1213"/>
    <x v="2"/>
    <n v="2"/>
    <n v="1"/>
    <s v="Human Resources"/>
    <n v="1"/>
    <n v="1890"/>
    <x v="0"/>
    <x v="1"/>
    <x v="0"/>
    <x v="1"/>
    <x v="0"/>
    <x v="8"/>
    <x v="0"/>
    <x v="0"/>
    <x v="1247"/>
    <x v="848"/>
    <x v="1"/>
    <s v="Y"/>
    <s v="No"/>
    <x v="7"/>
    <x v="1"/>
    <n v="4"/>
    <x v="0"/>
    <n v="0"/>
    <x v="1"/>
    <n v="2"/>
    <x v="2"/>
    <x v="1"/>
    <x v="10"/>
    <x v="0"/>
    <x v="5"/>
  </r>
  <r>
    <x v="32"/>
    <x v="1"/>
    <s v="Travel_Rarely"/>
    <n v="1137"/>
    <x v="1"/>
    <n v="1"/>
    <n v="4"/>
    <s v="Life Sciences"/>
    <n v="1"/>
    <n v="1892"/>
    <x v="3"/>
    <x v="1"/>
    <x v="33"/>
    <x v="0"/>
    <x v="3"/>
    <x v="5"/>
    <x v="3"/>
    <x v="2"/>
    <x v="1248"/>
    <x v="1308"/>
    <x v="7"/>
    <s v="Y"/>
    <s v="No"/>
    <x v="0"/>
    <x v="0"/>
    <n v="1"/>
    <x v="0"/>
    <n v="1"/>
    <x v="14"/>
    <n v="3"/>
    <x v="1"/>
    <x v="27"/>
    <x v="1"/>
    <x v="14"/>
    <x v="16"/>
  </r>
  <r>
    <x v="25"/>
    <x v="1"/>
    <s v="Travel_Rarely"/>
    <n v="482"/>
    <x v="1"/>
    <n v="1"/>
    <n v="2"/>
    <s v="Life Sciences"/>
    <n v="1"/>
    <n v="1893"/>
    <x v="0"/>
    <x v="0"/>
    <x v="62"/>
    <x v="1"/>
    <x v="1"/>
    <x v="1"/>
    <x v="2"/>
    <x v="1"/>
    <x v="1249"/>
    <x v="1309"/>
    <x v="1"/>
    <s v="Y"/>
    <s v="Yes"/>
    <x v="4"/>
    <x v="0"/>
    <n v="3"/>
    <x v="0"/>
    <n v="1"/>
    <x v="5"/>
    <n v="3"/>
    <x v="2"/>
    <x v="6"/>
    <x v="2"/>
    <x v="1"/>
    <x v="2"/>
  </r>
  <r>
    <x v="4"/>
    <x v="1"/>
    <s v="Travel_Rarely"/>
    <n v="511"/>
    <x v="0"/>
    <n v="2"/>
    <n v="2"/>
    <s v="Medical"/>
    <n v="1"/>
    <n v="1898"/>
    <x v="3"/>
    <x v="0"/>
    <x v="66"/>
    <x v="2"/>
    <x v="0"/>
    <x v="0"/>
    <x v="2"/>
    <x v="0"/>
    <x v="559"/>
    <x v="1310"/>
    <x v="4"/>
    <s v="Y"/>
    <s v="No"/>
    <x v="9"/>
    <x v="0"/>
    <n v="2"/>
    <x v="0"/>
    <n v="0"/>
    <x v="15"/>
    <n v="5"/>
    <x v="2"/>
    <x v="3"/>
    <x v="1"/>
    <x v="0"/>
    <x v="1"/>
  </r>
  <r>
    <x v="26"/>
    <x v="1"/>
    <s v="Travel_Frequently"/>
    <n v="117"/>
    <x v="1"/>
    <n v="22"/>
    <n v="3"/>
    <s v="Medical"/>
    <n v="1"/>
    <n v="1900"/>
    <x v="2"/>
    <x v="0"/>
    <x v="22"/>
    <x v="0"/>
    <x v="3"/>
    <x v="5"/>
    <x v="0"/>
    <x v="2"/>
    <x v="1250"/>
    <x v="1311"/>
    <x v="9"/>
    <s v="Y"/>
    <s v="No"/>
    <x v="0"/>
    <x v="0"/>
    <n v="2"/>
    <x v="0"/>
    <n v="1"/>
    <x v="13"/>
    <n v="3"/>
    <x v="1"/>
    <x v="14"/>
    <x v="18"/>
    <x v="5"/>
    <x v="1"/>
  </r>
  <r>
    <x v="20"/>
    <x v="1"/>
    <s v="Travel_Rarely"/>
    <n v="170"/>
    <x v="1"/>
    <n v="1"/>
    <n v="4"/>
    <s v="Life Sciences"/>
    <n v="1"/>
    <n v="1903"/>
    <x v="0"/>
    <x v="1"/>
    <x v="17"/>
    <x v="2"/>
    <x v="0"/>
    <x v="4"/>
    <x v="3"/>
    <x v="1"/>
    <x v="1251"/>
    <x v="1312"/>
    <x v="7"/>
    <s v="Y"/>
    <s v="No"/>
    <x v="2"/>
    <x v="0"/>
    <n v="4"/>
    <x v="0"/>
    <n v="1"/>
    <x v="1"/>
    <n v="5"/>
    <x v="1"/>
    <x v="4"/>
    <x v="2"/>
    <x v="3"/>
    <x v="3"/>
  </r>
  <r>
    <x v="13"/>
    <x v="0"/>
    <s v="Non-Travel"/>
    <n v="967"/>
    <x v="1"/>
    <n v="16"/>
    <n v="4"/>
    <s v="Technical Degree"/>
    <n v="1"/>
    <n v="1905"/>
    <x v="2"/>
    <x v="1"/>
    <x v="65"/>
    <x v="3"/>
    <x v="1"/>
    <x v="1"/>
    <x v="3"/>
    <x v="1"/>
    <x v="1252"/>
    <x v="1313"/>
    <x v="1"/>
    <s v="Y"/>
    <s v="Yes"/>
    <x v="1"/>
    <x v="1"/>
    <n v="2"/>
    <x v="0"/>
    <n v="1"/>
    <x v="7"/>
    <n v="2"/>
    <x v="1"/>
    <x v="8"/>
    <x v="3"/>
    <x v="2"/>
    <x v="2"/>
  </r>
  <r>
    <x v="29"/>
    <x v="0"/>
    <s v="Travel_Rarely"/>
    <n v="1162"/>
    <x v="1"/>
    <n v="24"/>
    <n v="2"/>
    <s v="Life Sciences"/>
    <n v="1"/>
    <n v="1907"/>
    <x v="3"/>
    <x v="1"/>
    <x v="28"/>
    <x v="0"/>
    <x v="1"/>
    <x v="2"/>
    <x v="0"/>
    <x v="0"/>
    <x v="1105"/>
    <x v="1314"/>
    <x v="1"/>
    <s v="Y"/>
    <s v="No"/>
    <x v="10"/>
    <x v="0"/>
    <n v="4"/>
    <x v="0"/>
    <n v="0"/>
    <x v="7"/>
    <n v="3"/>
    <x v="1"/>
    <x v="9"/>
    <x v="3"/>
    <x v="1"/>
    <x v="2"/>
  </r>
  <r>
    <x v="9"/>
    <x v="1"/>
    <s v="Travel_Rarely"/>
    <n v="335"/>
    <x v="0"/>
    <n v="17"/>
    <n v="2"/>
    <s v="Marketing"/>
    <n v="1"/>
    <n v="1908"/>
    <x v="1"/>
    <x v="1"/>
    <x v="30"/>
    <x v="1"/>
    <x v="0"/>
    <x v="0"/>
    <x v="1"/>
    <x v="1"/>
    <x v="1253"/>
    <x v="1315"/>
    <x v="7"/>
    <s v="Y"/>
    <s v="No"/>
    <x v="10"/>
    <x v="0"/>
    <n v="3"/>
    <x v="0"/>
    <n v="2"/>
    <x v="4"/>
    <n v="1"/>
    <x v="0"/>
    <x v="9"/>
    <x v="3"/>
    <x v="1"/>
    <x v="6"/>
  </r>
  <r>
    <x v="0"/>
    <x v="1"/>
    <s v="Travel_Rarely"/>
    <n v="337"/>
    <x v="0"/>
    <n v="8"/>
    <n v="3"/>
    <s v="Marketing"/>
    <n v="1"/>
    <n v="1909"/>
    <x v="1"/>
    <x v="0"/>
    <x v="60"/>
    <x v="0"/>
    <x v="0"/>
    <x v="0"/>
    <x v="1"/>
    <x v="1"/>
    <x v="1254"/>
    <x v="1316"/>
    <x v="6"/>
    <s v="Y"/>
    <s v="No"/>
    <x v="7"/>
    <x v="1"/>
    <n v="3"/>
    <x v="0"/>
    <n v="1"/>
    <x v="19"/>
    <n v="3"/>
    <x v="1"/>
    <x v="8"/>
    <x v="0"/>
    <x v="1"/>
    <x v="10"/>
  </r>
  <r>
    <x v="19"/>
    <x v="1"/>
    <s v="Travel_Rarely"/>
    <n v="1396"/>
    <x v="1"/>
    <n v="6"/>
    <n v="3"/>
    <s v="Medical"/>
    <n v="1"/>
    <n v="1911"/>
    <x v="1"/>
    <x v="1"/>
    <x v="21"/>
    <x v="0"/>
    <x v="2"/>
    <x v="7"/>
    <x v="3"/>
    <x v="1"/>
    <x v="1255"/>
    <x v="1317"/>
    <x v="3"/>
    <s v="Y"/>
    <s v="No"/>
    <x v="4"/>
    <x v="0"/>
    <n v="2"/>
    <x v="0"/>
    <n v="1"/>
    <x v="33"/>
    <n v="3"/>
    <x v="3"/>
    <x v="20"/>
    <x v="1"/>
    <x v="8"/>
    <x v="1"/>
  </r>
  <r>
    <x v="12"/>
    <x v="1"/>
    <s v="Travel_Rarely"/>
    <n v="1079"/>
    <x v="0"/>
    <n v="10"/>
    <n v="2"/>
    <s v="Medical"/>
    <n v="1"/>
    <n v="1912"/>
    <x v="1"/>
    <x v="0"/>
    <x v="27"/>
    <x v="0"/>
    <x v="0"/>
    <x v="0"/>
    <x v="0"/>
    <x v="2"/>
    <x v="1256"/>
    <x v="1318"/>
    <x v="7"/>
    <s v="Y"/>
    <s v="Yes"/>
    <x v="0"/>
    <x v="0"/>
    <n v="4"/>
    <x v="0"/>
    <n v="1"/>
    <x v="0"/>
    <n v="2"/>
    <x v="1"/>
    <x v="8"/>
    <x v="3"/>
    <x v="1"/>
    <x v="10"/>
  </r>
  <r>
    <x v="13"/>
    <x v="1"/>
    <s v="Travel_Rarely"/>
    <n v="735"/>
    <x v="0"/>
    <n v="3"/>
    <n v="1"/>
    <s v="Medical"/>
    <n v="1"/>
    <n v="1915"/>
    <x v="2"/>
    <x v="0"/>
    <x v="29"/>
    <x v="1"/>
    <x v="0"/>
    <x v="0"/>
    <x v="0"/>
    <x v="1"/>
    <x v="1257"/>
    <x v="1319"/>
    <x v="9"/>
    <s v="Y"/>
    <s v="Yes"/>
    <x v="3"/>
    <x v="0"/>
    <n v="3"/>
    <x v="0"/>
    <n v="0"/>
    <x v="15"/>
    <n v="3"/>
    <x v="2"/>
    <x v="9"/>
    <x v="3"/>
    <x v="0"/>
    <x v="9"/>
  </r>
  <r>
    <x v="12"/>
    <x v="1"/>
    <s v="Travel_Rarely"/>
    <n v="471"/>
    <x v="1"/>
    <n v="4"/>
    <n v="3"/>
    <s v="Medical"/>
    <n v="1"/>
    <n v="1916"/>
    <x v="3"/>
    <x v="0"/>
    <x v="50"/>
    <x v="2"/>
    <x v="1"/>
    <x v="2"/>
    <x v="2"/>
    <x v="2"/>
    <x v="1258"/>
    <x v="1320"/>
    <x v="0"/>
    <s v="Y"/>
    <s v="No"/>
    <x v="3"/>
    <x v="0"/>
    <n v="2"/>
    <x v="0"/>
    <n v="1"/>
    <x v="21"/>
    <n v="0"/>
    <x v="2"/>
    <x v="4"/>
    <x v="3"/>
    <x v="3"/>
    <x v="3"/>
  </r>
  <r>
    <x v="25"/>
    <x v="1"/>
    <s v="Travel_Frequently"/>
    <n v="1096"/>
    <x v="1"/>
    <n v="6"/>
    <n v="3"/>
    <s v="Other"/>
    <n v="1"/>
    <n v="1918"/>
    <x v="1"/>
    <x v="1"/>
    <x v="1"/>
    <x v="2"/>
    <x v="1"/>
    <x v="2"/>
    <x v="0"/>
    <x v="1"/>
    <x v="1259"/>
    <x v="1321"/>
    <x v="4"/>
    <s v="Y"/>
    <s v="No"/>
    <x v="11"/>
    <x v="0"/>
    <n v="1"/>
    <x v="0"/>
    <n v="1"/>
    <x v="0"/>
    <n v="3"/>
    <x v="1"/>
    <x v="5"/>
    <x v="1"/>
    <x v="4"/>
    <x v="1"/>
  </r>
  <r>
    <x v="28"/>
    <x v="1"/>
    <s v="Travel_Frequently"/>
    <n v="1297"/>
    <x v="1"/>
    <n v="1"/>
    <n v="4"/>
    <s v="Medical"/>
    <n v="1"/>
    <n v="1922"/>
    <x v="0"/>
    <x v="1"/>
    <x v="8"/>
    <x v="0"/>
    <x v="0"/>
    <x v="4"/>
    <x v="2"/>
    <x v="0"/>
    <x v="1260"/>
    <x v="1322"/>
    <x v="5"/>
    <s v="Y"/>
    <s v="No"/>
    <x v="3"/>
    <x v="0"/>
    <n v="3"/>
    <x v="0"/>
    <n v="0"/>
    <x v="4"/>
    <n v="3"/>
    <x v="1"/>
    <x v="9"/>
    <x v="3"/>
    <x v="0"/>
    <x v="6"/>
  </r>
  <r>
    <x v="3"/>
    <x v="1"/>
    <s v="Travel_Rarely"/>
    <n v="217"/>
    <x v="0"/>
    <n v="10"/>
    <n v="4"/>
    <s v="Marketing"/>
    <n v="1"/>
    <n v="1924"/>
    <x v="0"/>
    <x v="1"/>
    <x v="38"/>
    <x v="0"/>
    <x v="0"/>
    <x v="0"/>
    <x v="2"/>
    <x v="0"/>
    <x v="1261"/>
    <x v="1323"/>
    <x v="1"/>
    <s v="Y"/>
    <s v="No"/>
    <x v="9"/>
    <x v="0"/>
    <n v="2"/>
    <x v="0"/>
    <n v="0"/>
    <x v="1"/>
    <n v="2"/>
    <x v="2"/>
    <x v="1"/>
    <x v="0"/>
    <x v="0"/>
    <x v="12"/>
  </r>
  <r>
    <x v="14"/>
    <x v="1"/>
    <s v="Travel_Frequently"/>
    <n v="783"/>
    <x v="0"/>
    <n v="1"/>
    <n v="2"/>
    <s v="Life Sciences"/>
    <n v="1"/>
    <n v="1927"/>
    <x v="1"/>
    <x v="1"/>
    <x v="25"/>
    <x v="1"/>
    <x v="0"/>
    <x v="0"/>
    <x v="0"/>
    <x v="1"/>
    <x v="1262"/>
    <x v="1324"/>
    <x v="1"/>
    <s v="Y"/>
    <s v="Yes"/>
    <x v="3"/>
    <x v="0"/>
    <n v="3"/>
    <x v="0"/>
    <n v="1"/>
    <x v="2"/>
    <n v="2"/>
    <x v="1"/>
    <x v="5"/>
    <x v="1"/>
    <x v="0"/>
    <x v="1"/>
  </r>
  <r>
    <x v="11"/>
    <x v="0"/>
    <s v="Travel_Frequently"/>
    <n v="746"/>
    <x v="0"/>
    <n v="24"/>
    <n v="3"/>
    <s v="Technical Degree"/>
    <n v="1"/>
    <n v="1928"/>
    <x v="1"/>
    <x v="1"/>
    <x v="18"/>
    <x v="2"/>
    <x v="1"/>
    <x v="6"/>
    <x v="3"/>
    <x v="0"/>
    <x v="1263"/>
    <x v="1325"/>
    <x v="1"/>
    <s v="Y"/>
    <s v="No"/>
    <x v="8"/>
    <x v="0"/>
    <n v="4"/>
    <x v="0"/>
    <n v="0"/>
    <x v="5"/>
    <n v="3"/>
    <x v="1"/>
    <x v="6"/>
    <x v="2"/>
    <x v="0"/>
    <x v="2"/>
  </r>
  <r>
    <x v="22"/>
    <x v="1"/>
    <s v="Non-Travel"/>
    <n v="1251"/>
    <x v="0"/>
    <n v="21"/>
    <n v="4"/>
    <s v="Life Sciences"/>
    <n v="1"/>
    <n v="1929"/>
    <x v="3"/>
    <x v="0"/>
    <x v="47"/>
    <x v="3"/>
    <x v="0"/>
    <x v="0"/>
    <x v="2"/>
    <x v="1"/>
    <x v="1264"/>
    <x v="1326"/>
    <x v="2"/>
    <s v="Y"/>
    <s v="No"/>
    <x v="12"/>
    <x v="0"/>
    <n v="3"/>
    <x v="0"/>
    <n v="1"/>
    <x v="1"/>
    <n v="1"/>
    <x v="1"/>
    <x v="11"/>
    <x v="3"/>
    <x v="1"/>
    <x v="3"/>
  </r>
  <r>
    <x v="4"/>
    <x v="1"/>
    <s v="Travel_Rarely"/>
    <n v="1354"/>
    <x v="1"/>
    <n v="2"/>
    <n v="4"/>
    <s v="Technical Degree"/>
    <n v="1"/>
    <n v="1931"/>
    <x v="0"/>
    <x v="1"/>
    <x v="26"/>
    <x v="0"/>
    <x v="1"/>
    <x v="1"/>
    <x v="1"/>
    <x v="1"/>
    <x v="1265"/>
    <x v="1327"/>
    <x v="1"/>
    <s v="Y"/>
    <s v="No"/>
    <x v="0"/>
    <x v="0"/>
    <n v="3"/>
    <x v="0"/>
    <n v="1"/>
    <x v="3"/>
    <n v="3"/>
    <x v="2"/>
    <x v="8"/>
    <x v="7"/>
    <x v="1"/>
    <x v="3"/>
  </r>
  <r>
    <x v="13"/>
    <x v="1"/>
    <s v="Travel_Frequently"/>
    <n v="735"/>
    <x v="1"/>
    <n v="22"/>
    <n v="4"/>
    <s v="Other"/>
    <n v="1"/>
    <n v="1932"/>
    <x v="1"/>
    <x v="1"/>
    <x v="27"/>
    <x v="1"/>
    <x v="0"/>
    <x v="1"/>
    <x v="0"/>
    <x v="1"/>
    <x v="1266"/>
    <x v="1328"/>
    <x v="1"/>
    <s v="Y"/>
    <s v="Yes"/>
    <x v="2"/>
    <x v="0"/>
    <n v="2"/>
    <x v="0"/>
    <n v="0"/>
    <x v="28"/>
    <n v="3"/>
    <x v="1"/>
    <x v="15"/>
    <x v="15"/>
    <x v="7"/>
    <x v="7"/>
  </r>
  <r>
    <x v="14"/>
    <x v="0"/>
    <s v="Travel_Rarely"/>
    <n v="1475"/>
    <x v="0"/>
    <n v="13"/>
    <n v="2"/>
    <s v="Marketing"/>
    <n v="1"/>
    <n v="1933"/>
    <x v="2"/>
    <x v="0"/>
    <x v="9"/>
    <x v="0"/>
    <x v="0"/>
    <x v="0"/>
    <x v="2"/>
    <x v="0"/>
    <x v="1267"/>
    <x v="1329"/>
    <x v="9"/>
    <s v="Y"/>
    <s v="Yes"/>
    <x v="0"/>
    <x v="0"/>
    <n v="4"/>
    <x v="0"/>
    <n v="0"/>
    <x v="3"/>
    <n v="0"/>
    <x v="1"/>
    <x v="4"/>
    <x v="2"/>
    <x v="3"/>
    <x v="3"/>
  </r>
  <r>
    <x v="40"/>
    <x v="1"/>
    <s v="Non-Travel"/>
    <n v="1169"/>
    <x v="1"/>
    <n v="14"/>
    <n v="4"/>
    <s v="Technical Degree"/>
    <n v="1"/>
    <n v="1934"/>
    <x v="1"/>
    <x v="1"/>
    <x v="51"/>
    <x v="0"/>
    <x v="0"/>
    <x v="1"/>
    <x v="1"/>
    <x v="1"/>
    <x v="931"/>
    <x v="470"/>
    <x v="0"/>
    <s v="Y"/>
    <s v="No"/>
    <x v="11"/>
    <x v="0"/>
    <n v="3"/>
    <x v="0"/>
    <n v="1"/>
    <x v="28"/>
    <n v="4"/>
    <x v="3"/>
    <x v="3"/>
    <x v="1"/>
    <x v="1"/>
    <x v="1"/>
  </r>
  <r>
    <x v="29"/>
    <x v="1"/>
    <s v="Travel_Rarely"/>
    <n v="1443"/>
    <x v="0"/>
    <n v="11"/>
    <n v="5"/>
    <s v="Marketing"/>
    <n v="1"/>
    <n v="1935"/>
    <x v="2"/>
    <x v="0"/>
    <x v="66"/>
    <x v="1"/>
    <x v="0"/>
    <x v="0"/>
    <x v="3"/>
    <x v="1"/>
    <x v="1268"/>
    <x v="1330"/>
    <x v="5"/>
    <s v="Y"/>
    <s v="No"/>
    <x v="10"/>
    <x v="0"/>
    <n v="3"/>
    <x v="0"/>
    <n v="1"/>
    <x v="3"/>
    <n v="3"/>
    <x v="1"/>
    <x v="2"/>
    <x v="2"/>
    <x v="0"/>
    <x v="2"/>
  </r>
  <r>
    <x v="22"/>
    <x v="1"/>
    <s v="Travel_Rarely"/>
    <n v="867"/>
    <x v="1"/>
    <n v="9"/>
    <n v="2"/>
    <s v="Medical"/>
    <n v="1"/>
    <n v="1936"/>
    <x v="3"/>
    <x v="1"/>
    <x v="44"/>
    <x v="0"/>
    <x v="0"/>
    <x v="3"/>
    <x v="3"/>
    <x v="1"/>
    <x v="1269"/>
    <x v="1331"/>
    <x v="1"/>
    <s v="Y"/>
    <s v="No"/>
    <x v="14"/>
    <x v="1"/>
    <n v="4"/>
    <x v="0"/>
    <n v="1"/>
    <x v="1"/>
    <n v="3"/>
    <x v="1"/>
    <x v="1"/>
    <x v="2"/>
    <x v="4"/>
    <x v="12"/>
  </r>
  <r>
    <x v="8"/>
    <x v="1"/>
    <s v="Travel_Frequently"/>
    <n v="1394"/>
    <x v="1"/>
    <n v="8"/>
    <n v="3"/>
    <s v="Medical"/>
    <n v="1"/>
    <n v="1937"/>
    <x v="2"/>
    <x v="0"/>
    <x v="22"/>
    <x v="1"/>
    <x v="0"/>
    <x v="1"/>
    <x v="1"/>
    <x v="2"/>
    <x v="1270"/>
    <x v="1332"/>
    <x v="1"/>
    <s v="Y"/>
    <s v="Yes"/>
    <x v="10"/>
    <x v="0"/>
    <n v="3"/>
    <x v="0"/>
    <n v="1"/>
    <x v="26"/>
    <n v="3"/>
    <x v="1"/>
    <x v="23"/>
    <x v="14"/>
    <x v="0"/>
    <x v="1"/>
  </r>
  <r>
    <x v="34"/>
    <x v="1"/>
    <s v="Travel_Rarely"/>
    <n v="605"/>
    <x v="0"/>
    <n v="21"/>
    <n v="3"/>
    <s v="Life Sciences"/>
    <n v="1"/>
    <n v="1938"/>
    <x v="2"/>
    <x v="0"/>
    <x v="23"/>
    <x v="0"/>
    <x v="3"/>
    <x v="5"/>
    <x v="0"/>
    <x v="1"/>
    <x v="1271"/>
    <x v="1333"/>
    <x v="5"/>
    <s v="Y"/>
    <s v="Yes"/>
    <x v="4"/>
    <x v="0"/>
    <n v="3"/>
    <x v="0"/>
    <n v="1"/>
    <x v="22"/>
    <n v="2"/>
    <x v="2"/>
    <x v="6"/>
    <x v="2"/>
    <x v="0"/>
    <x v="2"/>
  </r>
  <r>
    <x v="5"/>
    <x v="0"/>
    <s v="Travel_Frequently"/>
    <n v="238"/>
    <x v="1"/>
    <n v="5"/>
    <n v="2"/>
    <s v="Life Sciences"/>
    <n v="1"/>
    <n v="1939"/>
    <x v="3"/>
    <x v="0"/>
    <x v="35"/>
    <x v="2"/>
    <x v="1"/>
    <x v="1"/>
    <x v="2"/>
    <x v="0"/>
    <x v="1272"/>
    <x v="439"/>
    <x v="9"/>
    <s v="Y"/>
    <s v="Yes"/>
    <x v="9"/>
    <x v="0"/>
    <n v="1"/>
    <x v="0"/>
    <n v="0"/>
    <x v="0"/>
    <n v="2"/>
    <x v="1"/>
    <x v="9"/>
    <x v="10"/>
    <x v="0"/>
    <x v="6"/>
  </r>
  <r>
    <x v="8"/>
    <x v="1"/>
    <s v="Travel_Rarely"/>
    <n v="1206"/>
    <x v="1"/>
    <n v="9"/>
    <n v="2"/>
    <s v="Life Sciences"/>
    <n v="1"/>
    <n v="1940"/>
    <x v="0"/>
    <x v="1"/>
    <x v="36"/>
    <x v="0"/>
    <x v="1"/>
    <x v="1"/>
    <x v="0"/>
    <x v="2"/>
    <x v="1273"/>
    <x v="1334"/>
    <x v="7"/>
    <s v="Y"/>
    <s v="No"/>
    <x v="12"/>
    <x v="0"/>
    <n v="4"/>
    <x v="0"/>
    <n v="2"/>
    <x v="1"/>
    <n v="0"/>
    <x v="3"/>
    <x v="8"/>
    <x v="3"/>
    <x v="0"/>
    <x v="6"/>
  </r>
  <r>
    <x v="1"/>
    <x v="1"/>
    <s v="Travel_Frequently"/>
    <n v="1064"/>
    <x v="1"/>
    <n v="2"/>
    <n v="1"/>
    <s v="Life Sciences"/>
    <n v="1"/>
    <n v="1941"/>
    <x v="0"/>
    <x v="1"/>
    <x v="25"/>
    <x v="0"/>
    <x v="4"/>
    <x v="7"/>
    <x v="0"/>
    <x v="1"/>
    <x v="1274"/>
    <x v="1335"/>
    <x v="9"/>
    <s v="Y"/>
    <s v="No"/>
    <x v="2"/>
    <x v="0"/>
    <n v="4"/>
    <x v="0"/>
    <n v="0"/>
    <x v="23"/>
    <n v="3"/>
    <x v="1"/>
    <x v="8"/>
    <x v="0"/>
    <x v="5"/>
    <x v="6"/>
  </r>
  <r>
    <x v="19"/>
    <x v="1"/>
    <s v="Travel_Rarely"/>
    <n v="419"/>
    <x v="0"/>
    <n v="12"/>
    <n v="4"/>
    <s v="Marketing"/>
    <n v="1"/>
    <n v="1943"/>
    <x v="0"/>
    <x v="1"/>
    <x v="57"/>
    <x v="0"/>
    <x v="0"/>
    <x v="0"/>
    <x v="0"/>
    <x v="2"/>
    <x v="1275"/>
    <x v="1336"/>
    <x v="9"/>
    <s v="Y"/>
    <s v="Yes"/>
    <x v="3"/>
    <x v="0"/>
    <n v="3"/>
    <x v="0"/>
    <n v="2"/>
    <x v="19"/>
    <n v="4"/>
    <x v="1"/>
    <x v="2"/>
    <x v="2"/>
    <x v="0"/>
    <x v="2"/>
  </r>
  <r>
    <x v="4"/>
    <x v="0"/>
    <s v="Travel_Frequently"/>
    <n v="1337"/>
    <x v="2"/>
    <n v="22"/>
    <n v="3"/>
    <s v="Human Resources"/>
    <n v="1"/>
    <n v="1944"/>
    <x v="3"/>
    <x v="0"/>
    <x v="22"/>
    <x v="1"/>
    <x v="1"/>
    <x v="8"/>
    <x v="1"/>
    <x v="1"/>
    <x v="1276"/>
    <x v="1337"/>
    <x v="1"/>
    <s v="Y"/>
    <s v="No"/>
    <x v="3"/>
    <x v="0"/>
    <n v="1"/>
    <x v="0"/>
    <n v="0"/>
    <x v="5"/>
    <n v="2"/>
    <x v="1"/>
    <x v="6"/>
    <x v="2"/>
    <x v="0"/>
    <x v="2"/>
  </r>
  <r>
    <x v="10"/>
    <x v="1"/>
    <s v="Travel_Rarely"/>
    <n v="682"/>
    <x v="0"/>
    <n v="18"/>
    <n v="4"/>
    <s v="Medical"/>
    <n v="1"/>
    <n v="1945"/>
    <x v="0"/>
    <x v="1"/>
    <x v="36"/>
    <x v="0"/>
    <x v="0"/>
    <x v="0"/>
    <x v="3"/>
    <x v="1"/>
    <x v="489"/>
    <x v="1338"/>
    <x v="4"/>
    <s v="Y"/>
    <s v="No"/>
    <x v="10"/>
    <x v="0"/>
    <n v="4"/>
    <x v="0"/>
    <n v="1"/>
    <x v="3"/>
    <n v="2"/>
    <x v="0"/>
    <x v="8"/>
    <x v="7"/>
    <x v="0"/>
    <x v="10"/>
  </r>
  <r>
    <x v="14"/>
    <x v="1"/>
    <s v="Non-Travel"/>
    <n v="1103"/>
    <x v="1"/>
    <n v="16"/>
    <n v="3"/>
    <s v="Medical"/>
    <n v="1"/>
    <n v="1947"/>
    <x v="1"/>
    <x v="1"/>
    <x v="10"/>
    <x v="0"/>
    <x v="1"/>
    <x v="1"/>
    <x v="2"/>
    <x v="0"/>
    <x v="1277"/>
    <x v="1339"/>
    <x v="1"/>
    <s v="Y"/>
    <s v="No"/>
    <x v="9"/>
    <x v="0"/>
    <n v="3"/>
    <x v="0"/>
    <n v="0"/>
    <x v="7"/>
    <n v="3"/>
    <x v="2"/>
    <x v="8"/>
    <x v="7"/>
    <x v="1"/>
    <x v="10"/>
  </r>
  <r>
    <x v="12"/>
    <x v="1"/>
    <s v="Non-Travel"/>
    <n v="976"/>
    <x v="1"/>
    <n v="3"/>
    <n v="2"/>
    <s v="Medical"/>
    <n v="1"/>
    <n v="1948"/>
    <x v="1"/>
    <x v="1"/>
    <x v="24"/>
    <x v="0"/>
    <x v="1"/>
    <x v="1"/>
    <x v="3"/>
    <x v="2"/>
    <x v="1278"/>
    <x v="1340"/>
    <x v="1"/>
    <s v="Y"/>
    <s v="Yes"/>
    <x v="4"/>
    <x v="0"/>
    <n v="4"/>
    <x v="0"/>
    <n v="1"/>
    <x v="21"/>
    <n v="3"/>
    <x v="3"/>
    <x v="9"/>
    <x v="3"/>
    <x v="3"/>
    <x v="6"/>
  </r>
  <r>
    <x v="9"/>
    <x v="1"/>
    <s v="Non-Travel"/>
    <n v="1351"/>
    <x v="1"/>
    <n v="9"/>
    <n v="4"/>
    <s v="Life Sciences"/>
    <n v="1"/>
    <n v="1949"/>
    <x v="3"/>
    <x v="1"/>
    <x v="45"/>
    <x v="2"/>
    <x v="1"/>
    <x v="2"/>
    <x v="1"/>
    <x v="1"/>
    <x v="1279"/>
    <x v="1341"/>
    <x v="1"/>
    <s v="Y"/>
    <s v="No"/>
    <x v="6"/>
    <x v="1"/>
    <n v="2"/>
    <x v="0"/>
    <n v="0"/>
    <x v="7"/>
    <n v="3"/>
    <x v="1"/>
    <x v="8"/>
    <x v="0"/>
    <x v="0"/>
    <x v="3"/>
  </r>
  <r>
    <x v="13"/>
    <x v="1"/>
    <s v="Travel_Rarely"/>
    <n v="937"/>
    <x v="0"/>
    <n v="1"/>
    <n v="3"/>
    <s v="Marketing"/>
    <n v="1"/>
    <n v="1950"/>
    <x v="3"/>
    <x v="1"/>
    <x v="47"/>
    <x v="0"/>
    <x v="2"/>
    <x v="0"/>
    <x v="0"/>
    <x v="0"/>
    <x v="1280"/>
    <x v="1342"/>
    <x v="1"/>
    <s v="Y"/>
    <s v="No"/>
    <x v="7"/>
    <x v="1"/>
    <n v="1"/>
    <x v="0"/>
    <n v="0"/>
    <x v="19"/>
    <n v="3"/>
    <x v="2"/>
    <x v="13"/>
    <x v="6"/>
    <x v="3"/>
    <x v="9"/>
  </r>
  <r>
    <x v="13"/>
    <x v="1"/>
    <s v="Travel_Rarely"/>
    <n v="1239"/>
    <x v="0"/>
    <n v="13"/>
    <n v="4"/>
    <s v="Medical"/>
    <n v="1"/>
    <n v="1951"/>
    <x v="2"/>
    <x v="1"/>
    <x v="56"/>
    <x v="0"/>
    <x v="2"/>
    <x v="0"/>
    <x v="2"/>
    <x v="2"/>
    <x v="1281"/>
    <x v="1343"/>
    <x v="1"/>
    <s v="Y"/>
    <s v="No"/>
    <x v="11"/>
    <x v="0"/>
    <n v="3"/>
    <x v="0"/>
    <n v="1"/>
    <x v="15"/>
    <n v="2"/>
    <x v="2"/>
    <x v="3"/>
    <x v="1"/>
    <x v="1"/>
    <x v="9"/>
  </r>
  <r>
    <x v="25"/>
    <x v="1"/>
    <s v="Travel_Rarely"/>
    <n v="157"/>
    <x v="1"/>
    <n v="1"/>
    <n v="3"/>
    <s v="Medical"/>
    <n v="1"/>
    <n v="1952"/>
    <x v="1"/>
    <x v="1"/>
    <x v="41"/>
    <x v="0"/>
    <x v="1"/>
    <x v="2"/>
    <x v="3"/>
    <x v="0"/>
    <x v="1282"/>
    <x v="1344"/>
    <x v="4"/>
    <s v="Y"/>
    <s v="No"/>
    <x v="4"/>
    <x v="0"/>
    <n v="4"/>
    <x v="0"/>
    <n v="0"/>
    <x v="0"/>
    <n v="6"/>
    <x v="2"/>
    <x v="5"/>
    <x v="1"/>
    <x v="4"/>
    <x v="4"/>
  </r>
  <r>
    <x v="11"/>
    <x v="1"/>
    <s v="Travel_Rarely"/>
    <n v="136"/>
    <x v="1"/>
    <n v="1"/>
    <n v="3"/>
    <s v="Life Sciences"/>
    <n v="1"/>
    <n v="1954"/>
    <x v="3"/>
    <x v="1"/>
    <x v="66"/>
    <x v="0"/>
    <x v="0"/>
    <x v="4"/>
    <x v="3"/>
    <x v="1"/>
    <x v="1283"/>
    <x v="1345"/>
    <x v="4"/>
    <s v="Y"/>
    <s v="No"/>
    <x v="3"/>
    <x v="0"/>
    <n v="1"/>
    <x v="0"/>
    <n v="1"/>
    <x v="3"/>
    <n v="5"/>
    <x v="2"/>
    <x v="8"/>
    <x v="7"/>
    <x v="0"/>
    <x v="3"/>
  </r>
  <r>
    <x v="5"/>
    <x v="1"/>
    <s v="Non-Travel"/>
    <n v="1146"/>
    <x v="1"/>
    <n v="15"/>
    <n v="4"/>
    <s v="Medical"/>
    <n v="1"/>
    <n v="1955"/>
    <x v="1"/>
    <x v="0"/>
    <x v="61"/>
    <x v="0"/>
    <x v="0"/>
    <x v="4"/>
    <x v="0"/>
    <x v="2"/>
    <x v="1284"/>
    <x v="1346"/>
    <x v="6"/>
    <s v="Y"/>
    <s v="No"/>
    <x v="11"/>
    <x v="0"/>
    <n v="2"/>
    <x v="0"/>
    <n v="1"/>
    <x v="15"/>
    <n v="6"/>
    <x v="1"/>
    <x v="8"/>
    <x v="10"/>
    <x v="1"/>
    <x v="3"/>
  </r>
  <r>
    <x v="12"/>
    <x v="1"/>
    <s v="Travel_Frequently"/>
    <n v="1125"/>
    <x v="1"/>
    <n v="1"/>
    <n v="3"/>
    <s v="Life Sciences"/>
    <n v="1"/>
    <n v="1956"/>
    <x v="2"/>
    <x v="1"/>
    <x v="24"/>
    <x v="3"/>
    <x v="0"/>
    <x v="1"/>
    <x v="3"/>
    <x v="1"/>
    <x v="701"/>
    <x v="1347"/>
    <x v="1"/>
    <s v="Y"/>
    <s v="No"/>
    <x v="7"/>
    <x v="1"/>
    <n v="2"/>
    <x v="0"/>
    <n v="0"/>
    <x v="1"/>
    <n v="6"/>
    <x v="1"/>
    <x v="1"/>
    <x v="6"/>
    <x v="6"/>
    <x v="1"/>
  </r>
  <r>
    <x v="14"/>
    <x v="0"/>
    <s v="Travel_Rarely"/>
    <n v="1404"/>
    <x v="1"/>
    <n v="17"/>
    <n v="3"/>
    <s v="Technical Degree"/>
    <n v="1"/>
    <n v="1960"/>
    <x v="1"/>
    <x v="1"/>
    <x v="47"/>
    <x v="1"/>
    <x v="1"/>
    <x v="2"/>
    <x v="0"/>
    <x v="2"/>
    <x v="1039"/>
    <x v="1348"/>
    <x v="6"/>
    <s v="Y"/>
    <s v="No"/>
    <x v="3"/>
    <x v="0"/>
    <n v="1"/>
    <x v="0"/>
    <n v="1"/>
    <x v="3"/>
    <n v="2"/>
    <x v="2"/>
    <x v="9"/>
    <x v="10"/>
    <x v="0"/>
    <x v="6"/>
  </r>
  <r>
    <x v="8"/>
    <x v="1"/>
    <s v="Travel_Rarely"/>
    <n v="1404"/>
    <x v="0"/>
    <n v="1"/>
    <n v="3"/>
    <s v="Life Sciences"/>
    <n v="1"/>
    <n v="1961"/>
    <x v="3"/>
    <x v="1"/>
    <x v="40"/>
    <x v="1"/>
    <x v="1"/>
    <x v="6"/>
    <x v="3"/>
    <x v="0"/>
    <x v="1285"/>
    <x v="1349"/>
    <x v="5"/>
    <s v="Y"/>
    <s v="No"/>
    <x v="9"/>
    <x v="0"/>
    <n v="1"/>
    <x v="0"/>
    <n v="0"/>
    <x v="26"/>
    <n v="3"/>
    <x v="2"/>
    <x v="6"/>
    <x v="2"/>
    <x v="0"/>
    <x v="2"/>
  </r>
  <r>
    <x v="10"/>
    <x v="1"/>
    <s v="Travel_Rarely"/>
    <n v="1224"/>
    <x v="0"/>
    <n v="7"/>
    <n v="4"/>
    <s v="Life Sciences"/>
    <n v="1"/>
    <n v="1962"/>
    <x v="1"/>
    <x v="0"/>
    <x v="46"/>
    <x v="0"/>
    <x v="0"/>
    <x v="0"/>
    <x v="0"/>
    <x v="1"/>
    <x v="626"/>
    <x v="1350"/>
    <x v="1"/>
    <s v="Y"/>
    <s v="Yes"/>
    <x v="0"/>
    <x v="0"/>
    <n v="4"/>
    <x v="0"/>
    <n v="0"/>
    <x v="1"/>
    <n v="2"/>
    <x v="1"/>
    <x v="1"/>
    <x v="6"/>
    <x v="0"/>
    <x v="12"/>
  </r>
  <r>
    <x v="4"/>
    <x v="1"/>
    <s v="Travel_Rarely"/>
    <n v="954"/>
    <x v="0"/>
    <n v="9"/>
    <n v="3"/>
    <s v="Marketing"/>
    <n v="1"/>
    <n v="1965"/>
    <x v="2"/>
    <x v="1"/>
    <x v="8"/>
    <x v="0"/>
    <x v="0"/>
    <x v="0"/>
    <x v="0"/>
    <x v="0"/>
    <x v="1286"/>
    <x v="1351"/>
    <x v="1"/>
    <s v="Y"/>
    <s v="No"/>
    <x v="9"/>
    <x v="0"/>
    <n v="1"/>
    <x v="0"/>
    <n v="0"/>
    <x v="2"/>
    <n v="5"/>
    <x v="1"/>
    <x v="5"/>
    <x v="1"/>
    <x v="0"/>
    <x v="1"/>
  </r>
  <r>
    <x v="5"/>
    <x v="1"/>
    <s v="Travel_Rarely"/>
    <n v="1373"/>
    <x v="1"/>
    <n v="5"/>
    <n v="4"/>
    <s v="Life Sciences"/>
    <n v="1"/>
    <n v="1966"/>
    <x v="2"/>
    <x v="1"/>
    <x v="3"/>
    <x v="1"/>
    <x v="0"/>
    <x v="3"/>
    <x v="0"/>
    <x v="0"/>
    <x v="1287"/>
    <x v="1352"/>
    <x v="0"/>
    <s v="Y"/>
    <s v="No"/>
    <x v="13"/>
    <x v="1"/>
    <n v="2"/>
    <x v="0"/>
    <n v="0"/>
    <x v="0"/>
    <n v="1"/>
    <x v="1"/>
    <x v="6"/>
    <x v="2"/>
    <x v="0"/>
    <x v="2"/>
  </r>
  <r>
    <x v="12"/>
    <x v="0"/>
    <s v="Travel_Frequently"/>
    <n v="754"/>
    <x v="0"/>
    <n v="26"/>
    <n v="4"/>
    <s v="Marketing"/>
    <n v="1"/>
    <n v="1967"/>
    <x v="3"/>
    <x v="1"/>
    <x v="52"/>
    <x v="0"/>
    <x v="0"/>
    <x v="0"/>
    <x v="0"/>
    <x v="1"/>
    <x v="1288"/>
    <x v="1353"/>
    <x v="1"/>
    <s v="Y"/>
    <s v="Yes"/>
    <x v="0"/>
    <x v="0"/>
    <n v="3"/>
    <x v="0"/>
    <n v="0"/>
    <x v="1"/>
    <n v="4"/>
    <x v="1"/>
    <x v="1"/>
    <x v="1"/>
    <x v="0"/>
    <x v="5"/>
  </r>
  <r>
    <x v="16"/>
    <x v="0"/>
    <s v="Travel_Rarely"/>
    <n v="1168"/>
    <x v="0"/>
    <n v="24"/>
    <n v="4"/>
    <s v="Life Sciences"/>
    <n v="1"/>
    <n v="1968"/>
    <x v="3"/>
    <x v="1"/>
    <x v="45"/>
    <x v="0"/>
    <x v="2"/>
    <x v="0"/>
    <x v="3"/>
    <x v="0"/>
    <x v="1289"/>
    <x v="1354"/>
    <x v="2"/>
    <s v="Y"/>
    <s v="Yes"/>
    <x v="4"/>
    <x v="0"/>
    <n v="2"/>
    <x v="0"/>
    <n v="0"/>
    <x v="20"/>
    <n v="2"/>
    <x v="2"/>
    <x v="4"/>
    <x v="3"/>
    <x v="3"/>
    <x v="3"/>
  </r>
  <r>
    <x v="33"/>
    <x v="1"/>
    <s v="Travel_Rarely"/>
    <n v="155"/>
    <x v="1"/>
    <n v="9"/>
    <n v="2"/>
    <s v="Life Sciences"/>
    <n v="1"/>
    <n v="1969"/>
    <x v="3"/>
    <x v="0"/>
    <x v="7"/>
    <x v="0"/>
    <x v="0"/>
    <x v="1"/>
    <x v="2"/>
    <x v="1"/>
    <x v="1290"/>
    <x v="1355"/>
    <x v="9"/>
    <s v="Y"/>
    <s v="No"/>
    <x v="0"/>
    <x v="0"/>
    <n v="3"/>
    <x v="0"/>
    <n v="2"/>
    <x v="15"/>
    <n v="6"/>
    <x v="2"/>
    <x v="9"/>
    <x v="7"/>
    <x v="3"/>
    <x v="6"/>
  </r>
  <r>
    <x v="3"/>
    <x v="1"/>
    <s v="Travel_Frequently"/>
    <n v="1303"/>
    <x v="1"/>
    <n v="7"/>
    <n v="2"/>
    <s v="Life Sciences"/>
    <n v="1"/>
    <n v="1970"/>
    <x v="2"/>
    <x v="1"/>
    <x v="34"/>
    <x v="0"/>
    <x v="0"/>
    <x v="4"/>
    <x v="2"/>
    <x v="2"/>
    <x v="1291"/>
    <x v="1356"/>
    <x v="1"/>
    <s v="Y"/>
    <s v="No"/>
    <x v="5"/>
    <x v="1"/>
    <n v="3"/>
    <x v="0"/>
    <n v="3"/>
    <x v="15"/>
    <n v="2"/>
    <x v="1"/>
    <x v="7"/>
    <x v="1"/>
    <x v="3"/>
    <x v="5"/>
  </r>
  <r>
    <x v="23"/>
    <x v="1"/>
    <s v="Travel_Rarely"/>
    <n v="574"/>
    <x v="1"/>
    <n v="11"/>
    <n v="3"/>
    <s v="Life Sciences"/>
    <n v="1"/>
    <n v="1971"/>
    <x v="3"/>
    <x v="1"/>
    <x v="37"/>
    <x v="0"/>
    <x v="2"/>
    <x v="4"/>
    <x v="2"/>
    <x v="1"/>
    <x v="1292"/>
    <x v="1357"/>
    <x v="1"/>
    <s v="Y"/>
    <s v="No"/>
    <x v="8"/>
    <x v="0"/>
    <n v="2"/>
    <x v="0"/>
    <n v="1"/>
    <x v="1"/>
    <n v="1"/>
    <x v="1"/>
    <x v="1"/>
    <x v="5"/>
    <x v="0"/>
    <x v="12"/>
  </r>
  <r>
    <x v="8"/>
    <x v="1"/>
    <s v="Travel_Frequently"/>
    <n v="1444"/>
    <x v="2"/>
    <n v="1"/>
    <n v="4"/>
    <s v="Other"/>
    <n v="1"/>
    <n v="1972"/>
    <x v="2"/>
    <x v="1"/>
    <x v="64"/>
    <x v="0"/>
    <x v="1"/>
    <x v="8"/>
    <x v="1"/>
    <x v="1"/>
    <x v="1293"/>
    <x v="1358"/>
    <x v="4"/>
    <s v="Y"/>
    <s v="Yes"/>
    <x v="0"/>
    <x v="0"/>
    <n v="2"/>
    <x v="0"/>
    <n v="1"/>
    <x v="2"/>
    <n v="2"/>
    <x v="1"/>
    <x v="0"/>
    <x v="3"/>
    <x v="1"/>
    <x v="3"/>
  </r>
  <r>
    <x v="27"/>
    <x v="1"/>
    <s v="Travel_Rarely"/>
    <n v="189"/>
    <x v="2"/>
    <n v="26"/>
    <n v="4"/>
    <s v="Human Resources"/>
    <n v="1"/>
    <n v="1973"/>
    <x v="1"/>
    <x v="1"/>
    <x v="36"/>
    <x v="2"/>
    <x v="4"/>
    <x v="5"/>
    <x v="1"/>
    <x v="1"/>
    <x v="1294"/>
    <x v="1359"/>
    <x v="5"/>
    <s v="Y"/>
    <s v="Yes"/>
    <x v="11"/>
    <x v="0"/>
    <n v="1"/>
    <x v="0"/>
    <n v="1"/>
    <x v="38"/>
    <n v="0"/>
    <x v="1"/>
    <x v="1"/>
    <x v="5"/>
    <x v="1"/>
    <x v="10"/>
  </r>
  <r>
    <x v="12"/>
    <x v="1"/>
    <s v="Travel_Rarely"/>
    <n v="1276"/>
    <x v="1"/>
    <n v="2"/>
    <n v="1"/>
    <s v="Medical"/>
    <n v="1"/>
    <n v="1974"/>
    <x v="2"/>
    <x v="0"/>
    <x v="40"/>
    <x v="3"/>
    <x v="1"/>
    <x v="2"/>
    <x v="0"/>
    <x v="2"/>
    <x v="1295"/>
    <x v="1360"/>
    <x v="1"/>
    <s v="Y"/>
    <s v="Yes"/>
    <x v="0"/>
    <x v="0"/>
    <n v="3"/>
    <x v="0"/>
    <n v="3"/>
    <x v="5"/>
    <n v="4"/>
    <x v="1"/>
    <x v="6"/>
    <x v="2"/>
    <x v="0"/>
    <x v="2"/>
  </r>
  <r>
    <x v="22"/>
    <x v="1"/>
    <s v="Travel_Rarely"/>
    <n v="119"/>
    <x v="0"/>
    <n v="15"/>
    <n v="4"/>
    <s v="Marketing"/>
    <n v="1"/>
    <n v="1975"/>
    <x v="0"/>
    <x v="1"/>
    <x v="57"/>
    <x v="0"/>
    <x v="3"/>
    <x v="0"/>
    <x v="3"/>
    <x v="0"/>
    <x v="1296"/>
    <x v="1361"/>
    <x v="4"/>
    <s v="Y"/>
    <s v="No"/>
    <x v="3"/>
    <x v="0"/>
    <n v="1"/>
    <x v="0"/>
    <n v="0"/>
    <x v="24"/>
    <n v="3"/>
    <x v="1"/>
    <x v="23"/>
    <x v="6"/>
    <x v="14"/>
    <x v="13"/>
  </r>
  <r>
    <x v="19"/>
    <x v="1"/>
    <s v="Non-Travel"/>
    <n v="335"/>
    <x v="1"/>
    <n v="23"/>
    <n v="2"/>
    <s v="Life Sciences"/>
    <n v="1"/>
    <n v="1976"/>
    <x v="2"/>
    <x v="1"/>
    <x v="31"/>
    <x v="1"/>
    <x v="0"/>
    <x v="1"/>
    <x v="2"/>
    <x v="0"/>
    <x v="1297"/>
    <x v="1362"/>
    <x v="1"/>
    <s v="Y"/>
    <s v="No"/>
    <x v="3"/>
    <x v="0"/>
    <n v="4"/>
    <x v="0"/>
    <n v="0"/>
    <x v="26"/>
    <n v="2"/>
    <x v="1"/>
    <x v="23"/>
    <x v="5"/>
    <x v="2"/>
    <x v="1"/>
  </r>
  <r>
    <x v="12"/>
    <x v="1"/>
    <s v="Non-Travel"/>
    <n v="697"/>
    <x v="1"/>
    <n v="10"/>
    <n v="3"/>
    <s v="Medical"/>
    <n v="1"/>
    <n v="1979"/>
    <x v="1"/>
    <x v="0"/>
    <x v="4"/>
    <x v="0"/>
    <x v="2"/>
    <x v="7"/>
    <x v="2"/>
    <x v="1"/>
    <x v="1298"/>
    <x v="1363"/>
    <x v="5"/>
    <s v="Y"/>
    <s v="No"/>
    <x v="5"/>
    <x v="1"/>
    <n v="3"/>
    <x v="0"/>
    <n v="1"/>
    <x v="10"/>
    <n v="2"/>
    <x v="3"/>
    <x v="19"/>
    <x v="1"/>
    <x v="5"/>
    <x v="5"/>
  </r>
  <r>
    <x v="33"/>
    <x v="1"/>
    <s v="Travel_Rarely"/>
    <n v="157"/>
    <x v="1"/>
    <n v="10"/>
    <n v="3"/>
    <s v="Medical"/>
    <n v="1"/>
    <n v="1980"/>
    <x v="1"/>
    <x v="0"/>
    <x v="57"/>
    <x v="0"/>
    <x v="0"/>
    <x v="3"/>
    <x v="3"/>
    <x v="0"/>
    <x v="1299"/>
    <x v="1364"/>
    <x v="2"/>
    <s v="Y"/>
    <s v="Yes"/>
    <x v="12"/>
    <x v="0"/>
    <n v="4"/>
    <x v="0"/>
    <n v="0"/>
    <x v="15"/>
    <n v="3"/>
    <x v="1"/>
    <x v="8"/>
    <x v="3"/>
    <x v="1"/>
    <x v="10"/>
  </r>
  <r>
    <x v="17"/>
    <x v="1"/>
    <s v="Travel_Rarely"/>
    <n v="771"/>
    <x v="1"/>
    <n v="1"/>
    <n v="2"/>
    <s v="Life Sciences"/>
    <n v="1"/>
    <n v="1981"/>
    <x v="0"/>
    <x v="1"/>
    <x v="18"/>
    <x v="1"/>
    <x v="0"/>
    <x v="4"/>
    <x v="2"/>
    <x v="0"/>
    <x v="1300"/>
    <x v="1365"/>
    <x v="1"/>
    <s v="Y"/>
    <s v="No"/>
    <x v="3"/>
    <x v="0"/>
    <n v="2"/>
    <x v="0"/>
    <n v="0"/>
    <x v="21"/>
    <n v="2"/>
    <x v="2"/>
    <x v="9"/>
    <x v="7"/>
    <x v="1"/>
    <x v="3"/>
  </r>
  <r>
    <x v="30"/>
    <x v="1"/>
    <s v="Travel_Rarely"/>
    <n v="571"/>
    <x v="1"/>
    <n v="12"/>
    <n v="2"/>
    <s v="Other"/>
    <n v="1"/>
    <n v="1982"/>
    <x v="2"/>
    <x v="1"/>
    <x v="17"/>
    <x v="0"/>
    <x v="1"/>
    <x v="2"/>
    <x v="0"/>
    <x v="0"/>
    <x v="1301"/>
    <x v="1366"/>
    <x v="1"/>
    <s v="Y"/>
    <s v="No"/>
    <x v="4"/>
    <x v="0"/>
    <n v="3"/>
    <x v="0"/>
    <n v="0"/>
    <x v="7"/>
    <n v="6"/>
    <x v="3"/>
    <x v="8"/>
    <x v="3"/>
    <x v="1"/>
    <x v="10"/>
  </r>
  <r>
    <x v="32"/>
    <x v="1"/>
    <s v="Travel_Frequently"/>
    <n v="692"/>
    <x v="1"/>
    <n v="11"/>
    <n v="3"/>
    <s v="Technical Degree"/>
    <n v="1"/>
    <n v="1985"/>
    <x v="2"/>
    <x v="0"/>
    <x v="32"/>
    <x v="0"/>
    <x v="0"/>
    <x v="2"/>
    <x v="2"/>
    <x v="1"/>
    <x v="1302"/>
    <x v="1367"/>
    <x v="1"/>
    <s v="Y"/>
    <s v="No"/>
    <x v="0"/>
    <x v="0"/>
    <n v="1"/>
    <x v="0"/>
    <n v="1"/>
    <x v="1"/>
    <n v="2"/>
    <x v="3"/>
    <x v="1"/>
    <x v="5"/>
    <x v="10"/>
    <x v="10"/>
  </r>
  <r>
    <x v="32"/>
    <x v="1"/>
    <s v="Travel_Rarely"/>
    <n v="444"/>
    <x v="0"/>
    <n v="2"/>
    <n v="2"/>
    <s v="Marketing"/>
    <n v="1"/>
    <n v="1986"/>
    <x v="0"/>
    <x v="0"/>
    <x v="2"/>
    <x v="0"/>
    <x v="0"/>
    <x v="0"/>
    <x v="1"/>
    <x v="1"/>
    <x v="1303"/>
    <x v="1368"/>
    <x v="9"/>
    <s v="Y"/>
    <s v="No"/>
    <x v="9"/>
    <x v="0"/>
    <n v="3"/>
    <x v="0"/>
    <n v="1"/>
    <x v="20"/>
    <n v="4"/>
    <x v="1"/>
    <x v="19"/>
    <x v="6"/>
    <x v="8"/>
    <x v="13"/>
  </r>
  <r>
    <x v="36"/>
    <x v="1"/>
    <s v="Travel_Rarely"/>
    <n v="309"/>
    <x v="2"/>
    <n v="2"/>
    <n v="3"/>
    <s v="Human Resources"/>
    <n v="1"/>
    <n v="1987"/>
    <x v="1"/>
    <x v="0"/>
    <x v="19"/>
    <x v="0"/>
    <x v="1"/>
    <x v="8"/>
    <x v="1"/>
    <x v="1"/>
    <x v="467"/>
    <x v="1369"/>
    <x v="5"/>
    <s v="Y"/>
    <s v="No"/>
    <x v="9"/>
    <x v="0"/>
    <n v="3"/>
    <x v="0"/>
    <n v="0"/>
    <x v="3"/>
    <n v="3"/>
    <x v="1"/>
    <x v="4"/>
    <x v="2"/>
    <x v="1"/>
    <x v="3"/>
  </r>
  <r>
    <x v="7"/>
    <x v="1"/>
    <s v="Travel_Rarely"/>
    <n v="911"/>
    <x v="1"/>
    <n v="1"/>
    <n v="2"/>
    <s v="Medical"/>
    <n v="1"/>
    <n v="1989"/>
    <x v="2"/>
    <x v="1"/>
    <x v="43"/>
    <x v="0"/>
    <x v="1"/>
    <x v="2"/>
    <x v="1"/>
    <x v="1"/>
    <x v="1304"/>
    <x v="1370"/>
    <x v="1"/>
    <s v="Y"/>
    <s v="No"/>
    <x v="4"/>
    <x v="0"/>
    <n v="3"/>
    <x v="0"/>
    <n v="0"/>
    <x v="4"/>
    <n v="6"/>
    <x v="2"/>
    <x v="12"/>
    <x v="6"/>
    <x v="1"/>
    <x v="1"/>
  </r>
  <r>
    <x v="36"/>
    <x v="1"/>
    <s v="Travel_Rarely"/>
    <n v="977"/>
    <x v="1"/>
    <n v="2"/>
    <n v="1"/>
    <s v="Other"/>
    <n v="1"/>
    <n v="1992"/>
    <x v="2"/>
    <x v="1"/>
    <x v="42"/>
    <x v="0"/>
    <x v="1"/>
    <x v="2"/>
    <x v="2"/>
    <x v="2"/>
    <x v="1305"/>
    <x v="1371"/>
    <x v="2"/>
    <s v="Y"/>
    <s v="Yes"/>
    <x v="12"/>
    <x v="0"/>
    <n v="3"/>
    <x v="0"/>
    <n v="1"/>
    <x v="2"/>
    <n v="2"/>
    <x v="2"/>
    <x v="4"/>
    <x v="3"/>
    <x v="0"/>
    <x v="3"/>
  </r>
  <r>
    <x v="40"/>
    <x v="1"/>
    <s v="Travel_Rarely"/>
    <n v="1180"/>
    <x v="1"/>
    <n v="25"/>
    <n v="3"/>
    <s v="Medical"/>
    <n v="1"/>
    <n v="1993"/>
    <x v="3"/>
    <x v="1"/>
    <x v="9"/>
    <x v="0"/>
    <x v="2"/>
    <x v="4"/>
    <x v="2"/>
    <x v="0"/>
    <x v="1306"/>
    <x v="1372"/>
    <x v="7"/>
    <s v="Y"/>
    <s v="No"/>
    <x v="1"/>
    <x v="1"/>
    <n v="2"/>
    <x v="0"/>
    <n v="0"/>
    <x v="25"/>
    <n v="3"/>
    <x v="1"/>
    <x v="18"/>
    <x v="12"/>
    <x v="12"/>
    <x v="7"/>
  </r>
  <r>
    <x v="3"/>
    <x v="1"/>
    <s v="Non-Travel"/>
    <n v="1313"/>
    <x v="1"/>
    <n v="1"/>
    <n v="2"/>
    <s v="Medical"/>
    <n v="1"/>
    <n v="1994"/>
    <x v="0"/>
    <x v="1"/>
    <x v="40"/>
    <x v="1"/>
    <x v="1"/>
    <x v="2"/>
    <x v="2"/>
    <x v="2"/>
    <x v="641"/>
    <x v="1373"/>
    <x v="1"/>
    <s v="Y"/>
    <s v="No"/>
    <x v="3"/>
    <x v="0"/>
    <n v="3"/>
    <x v="0"/>
    <n v="3"/>
    <x v="5"/>
    <n v="2"/>
    <x v="2"/>
    <x v="6"/>
    <x v="10"/>
    <x v="0"/>
    <x v="2"/>
  </r>
  <r>
    <x v="8"/>
    <x v="1"/>
    <s v="Travel_Rarely"/>
    <n v="1321"/>
    <x v="0"/>
    <n v="1"/>
    <n v="4"/>
    <s v="Life Sciences"/>
    <n v="1"/>
    <n v="1995"/>
    <x v="2"/>
    <x v="1"/>
    <x v="27"/>
    <x v="0"/>
    <x v="0"/>
    <x v="0"/>
    <x v="1"/>
    <x v="1"/>
    <x v="1299"/>
    <x v="1374"/>
    <x v="4"/>
    <s v="Y"/>
    <s v="No"/>
    <x v="2"/>
    <x v="0"/>
    <n v="1"/>
    <x v="0"/>
    <n v="2"/>
    <x v="28"/>
    <n v="3"/>
    <x v="1"/>
    <x v="15"/>
    <x v="9"/>
    <x v="8"/>
    <x v="5"/>
  </r>
  <r>
    <x v="12"/>
    <x v="1"/>
    <s v="Travel_Rarely"/>
    <n v="1154"/>
    <x v="0"/>
    <n v="2"/>
    <n v="2"/>
    <s v="Life Sciences"/>
    <n v="1"/>
    <n v="1996"/>
    <x v="3"/>
    <x v="1"/>
    <x v="60"/>
    <x v="0"/>
    <x v="1"/>
    <x v="6"/>
    <x v="2"/>
    <x v="1"/>
    <x v="1307"/>
    <x v="1375"/>
    <x v="4"/>
    <s v="Y"/>
    <s v="No"/>
    <x v="12"/>
    <x v="0"/>
    <n v="3"/>
    <x v="0"/>
    <n v="1"/>
    <x v="8"/>
    <n v="1"/>
    <x v="1"/>
    <x v="4"/>
    <x v="3"/>
    <x v="1"/>
    <x v="3"/>
  </r>
  <r>
    <x v="8"/>
    <x v="1"/>
    <s v="Travel_Frequently"/>
    <n v="508"/>
    <x v="1"/>
    <n v="6"/>
    <n v="4"/>
    <s v="Life Sciences"/>
    <n v="1"/>
    <n v="1997"/>
    <x v="3"/>
    <x v="1"/>
    <x v="23"/>
    <x v="1"/>
    <x v="0"/>
    <x v="3"/>
    <x v="2"/>
    <x v="1"/>
    <x v="1308"/>
    <x v="1376"/>
    <x v="7"/>
    <s v="Y"/>
    <s v="No"/>
    <x v="0"/>
    <x v="0"/>
    <n v="4"/>
    <x v="0"/>
    <n v="1"/>
    <x v="1"/>
    <n v="1"/>
    <x v="1"/>
    <x v="3"/>
    <x v="7"/>
    <x v="4"/>
    <x v="1"/>
  </r>
  <r>
    <x v="19"/>
    <x v="1"/>
    <s v="Travel_Rarely"/>
    <n v="557"/>
    <x v="1"/>
    <n v="18"/>
    <n v="4"/>
    <s v="Life Sciences"/>
    <n v="1"/>
    <n v="1998"/>
    <x v="2"/>
    <x v="1"/>
    <x v="58"/>
    <x v="0"/>
    <x v="0"/>
    <x v="1"/>
    <x v="3"/>
    <x v="2"/>
    <x v="874"/>
    <x v="1377"/>
    <x v="2"/>
    <s v="Y"/>
    <s v="Yes"/>
    <x v="8"/>
    <x v="0"/>
    <n v="3"/>
    <x v="0"/>
    <n v="1"/>
    <x v="15"/>
    <n v="3"/>
    <x v="2"/>
    <x v="9"/>
    <x v="7"/>
    <x v="1"/>
    <x v="3"/>
  </r>
  <r>
    <x v="0"/>
    <x v="1"/>
    <s v="Travel_Rarely"/>
    <n v="642"/>
    <x v="1"/>
    <n v="1"/>
    <n v="3"/>
    <s v="Life Sciences"/>
    <n v="1"/>
    <n v="1999"/>
    <x v="2"/>
    <x v="1"/>
    <x v="43"/>
    <x v="0"/>
    <x v="1"/>
    <x v="1"/>
    <x v="0"/>
    <x v="1"/>
    <x v="553"/>
    <x v="1378"/>
    <x v="9"/>
    <s v="Y"/>
    <s v="No"/>
    <x v="6"/>
    <x v="1"/>
    <n v="1"/>
    <x v="0"/>
    <n v="1"/>
    <x v="4"/>
    <n v="3"/>
    <x v="1"/>
    <x v="8"/>
    <x v="7"/>
    <x v="1"/>
    <x v="2"/>
  </r>
  <r>
    <x v="40"/>
    <x v="1"/>
    <s v="Non-Travel"/>
    <n v="1162"/>
    <x v="1"/>
    <n v="1"/>
    <n v="1"/>
    <s v="Medical"/>
    <n v="1"/>
    <n v="2000"/>
    <x v="1"/>
    <x v="0"/>
    <x v="33"/>
    <x v="0"/>
    <x v="2"/>
    <x v="7"/>
    <x v="1"/>
    <x v="1"/>
    <x v="1309"/>
    <x v="1379"/>
    <x v="4"/>
    <s v="Y"/>
    <s v="No"/>
    <x v="11"/>
    <x v="0"/>
    <n v="1"/>
    <x v="0"/>
    <n v="2"/>
    <x v="19"/>
    <n v="3"/>
    <x v="0"/>
    <x v="20"/>
    <x v="6"/>
    <x v="8"/>
    <x v="11"/>
  </r>
  <r>
    <x v="10"/>
    <x v="1"/>
    <s v="Travel_Rarely"/>
    <n v="1490"/>
    <x v="1"/>
    <n v="11"/>
    <n v="4"/>
    <s v="Medical"/>
    <n v="1"/>
    <n v="2003"/>
    <x v="2"/>
    <x v="1"/>
    <x v="38"/>
    <x v="0"/>
    <x v="1"/>
    <x v="2"/>
    <x v="2"/>
    <x v="1"/>
    <x v="1310"/>
    <x v="1380"/>
    <x v="8"/>
    <s v="Y"/>
    <s v="Yes"/>
    <x v="0"/>
    <x v="0"/>
    <n v="3"/>
    <x v="0"/>
    <n v="1"/>
    <x v="7"/>
    <n v="3"/>
    <x v="1"/>
    <x v="4"/>
    <x v="3"/>
    <x v="3"/>
    <x v="3"/>
  </r>
  <r>
    <x v="15"/>
    <x v="1"/>
    <s v="Travel_Rarely"/>
    <n v="581"/>
    <x v="1"/>
    <n v="1"/>
    <n v="2"/>
    <s v="Life Sciences"/>
    <n v="1"/>
    <n v="2007"/>
    <x v="2"/>
    <x v="1"/>
    <x v="52"/>
    <x v="0"/>
    <x v="1"/>
    <x v="1"/>
    <x v="2"/>
    <x v="0"/>
    <x v="1311"/>
    <x v="1381"/>
    <x v="4"/>
    <s v="Y"/>
    <s v="No"/>
    <x v="3"/>
    <x v="0"/>
    <n v="4"/>
    <x v="0"/>
    <n v="0"/>
    <x v="21"/>
    <n v="2"/>
    <x v="3"/>
    <x v="11"/>
    <x v="3"/>
    <x v="1"/>
    <x v="3"/>
  </r>
  <r>
    <x v="10"/>
    <x v="1"/>
    <s v="Travel_Rarely"/>
    <n v="1395"/>
    <x v="1"/>
    <n v="9"/>
    <n v="4"/>
    <s v="Medical"/>
    <n v="1"/>
    <n v="2008"/>
    <x v="0"/>
    <x v="1"/>
    <x v="24"/>
    <x v="0"/>
    <x v="0"/>
    <x v="1"/>
    <x v="2"/>
    <x v="0"/>
    <x v="1312"/>
    <x v="1382"/>
    <x v="1"/>
    <s v="Y"/>
    <s v="No"/>
    <x v="12"/>
    <x v="0"/>
    <n v="2"/>
    <x v="0"/>
    <n v="0"/>
    <x v="1"/>
    <n v="5"/>
    <x v="1"/>
    <x v="1"/>
    <x v="1"/>
    <x v="0"/>
    <x v="5"/>
  </r>
  <r>
    <x v="3"/>
    <x v="1"/>
    <s v="Travel_Rarely"/>
    <n v="501"/>
    <x v="1"/>
    <n v="15"/>
    <n v="2"/>
    <s v="Medical"/>
    <n v="1"/>
    <n v="2009"/>
    <x v="0"/>
    <x v="0"/>
    <x v="41"/>
    <x v="0"/>
    <x v="0"/>
    <x v="4"/>
    <x v="0"/>
    <x v="1"/>
    <x v="1313"/>
    <x v="1383"/>
    <x v="4"/>
    <s v="Y"/>
    <s v="Yes"/>
    <x v="4"/>
    <x v="0"/>
    <n v="1"/>
    <x v="0"/>
    <n v="1"/>
    <x v="1"/>
    <n v="6"/>
    <x v="1"/>
    <x v="7"/>
    <x v="1"/>
    <x v="6"/>
    <x v="9"/>
  </r>
  <r>
    <x v="5"/>
    <x v="1"/>
    <s v="Travel_Rarely"/>
    <n v="267"/>
    <x v="1"/>
    <n v="29"/>
    <n v="4"/>
    <s v="Life Sciences"/>
    <n v="1"/>
    <n v="2010"/>
    <x v="1"/>
    <x v="0"/>
    <x v="10"/>
    <x v="1"/>
    <x v="1"/>
    <x v="2"/>
    <x v="1"/>
    <x v="0"/>
    <x v="1314"/>
    <x v="1384"/>
    <x v="1"/>
    <s v="Y"/>
    <s v="No"/>
    <x v="4"/>
    <x v="0"/>
    <n v="3"/>
    <x v="0"/>
    <n v="0"/>
    <x v="3"/>
    <n v="3"/>
    <x v="1"/>
    <x v="0"/>
    <x v="3"/>
    <x v="5"/>
    <x v="9"/>
  </r>
  <r>
    <x v="32"/>
    <x v="1"/>
    <s v="Travel_Rarely"/>
    <n v="543"/>
    <x v="1"/>
    <n v="1"/>
    <n v="4"/>
    <s v="Life Sciences"/>
    <n v="1"/>
    <n v="2012"/>
    <x v="3"/>
    <x v="1"/>
    <x v="21"/>
    <x v="0"/>
    <x v="1"/>
    <x v="2"/>
    <x v="0"/>
    <x v="1"/>
    <x v="58"/>
    <x v="1385"/>
    <x v="0"/>
    <s v="Y"/>
    <s v="No"/>
    <x v="12"/>
    <x v="0"/>
    <n v="3"/>
    <x v="0"/>
    <n v="2"/>
    <x v="0"/>
    <n v="3"/>
    <x v="2"/>
    <x v="6"/>
    <x v="2"/>
    <x v="0"/>
    <x v="2"/>
  </r>
  <r>
    <x v="5"/>
    <x v="1"/>
    <s v="Travel_Rarely"/>
    <n v="234"/>
    <x v="0"/>
    <n v="1"/>
    <n v="4"/>
    <s v="Medical"/>
    <n v="1"/>
    <n v="2013"/>
    <x v="0"/>
    <x v="1"/>
    <x v="67"/>
    <x v="1"/>
    <x v="1"/>
    <x v="6"/>
    <x v="1"/>
    <x v="1"/>
    <x v="47"/>
    <x v="1386"/>
    <x v="4"/>
    <s v="Y"/>
    <s v="No"/>
    <x v="9"/>
    <x v="0"/>
    <n v="2"/>
    <x v="0"/>
    <n v="1"/>
    <x v="8"/>
    <n v="2"/>
    <x v="1"/>
    <x v="4"/>
    <x v="3"/>
    <x v="3"/>
    <x v="3"/>
  </r>
  <r>
    <x v="22"/>
    <x v="1"/>
    <s v="Travel_Rarely"/>
    <n v="116"/>
    <x v="1"/>
    <n v="24"/>
    <n v="1"/>
    <s v="Life Sciences"/>
    <n v="1"/>
    <n v="2014"/>
    <x v="3"/>
    <x v="1"/>
    <x v="48"/>
    <x v="0"/>
    <x v="0"/>
    <x v="1"/>
    <x v="0"/>
    <x v="0"/>
    <x v="1315"/>
    <x v="1387"/>
    <x v="8"/>
    <s v="Y"/>
    <s v="No"/>
    <x v="4"/>
    <x v="0"/>
    <n v="1"/>
    <x v="0"/>
    <n v="0"/>
    <x v="33"/>
    <n v="2"/>
    <x v="1"/>
    <x v="5"/>
    <x v="1"/>
    <x v="1"/>
    <x v="1"/>
  </r>
  <r>
    <x v="8"/>
    <x v="1"/>
    <s v="Travel_Rarely"/>
    <n v="201"/>
    <x v="1"/>
    <n v="10"/>
    <n v="3"/>
    <s v="Medical"/>
    <n v="1"/>
    <n v="2015"/>
    <x v="0"/>
    <x v="0"/>
    <x v="39"/>
    <x v="3"/>
    <x v="2"/>
    <x v="7"/>
    <x v="2"/>
    <x v="1"/>
    <x v="1316"/>
    <x v="1388"/>
    <x v="9"/>
    <s v="Y"/>
    <s v="No"/>
    <x v="3"/>
    <x v="0"/>
    <n v="1"/>
    <x v="0"/>
    <n v="1"/>
    <x v="26"/>
    <n v="3"/>
    <x v="1"/>
    <x v="29"/>
    <x v="13"/>
    <x v="1"/>
    <x v="7"/>
  </r>
  <r>
    <x v="5"/>
    <x v="1"/>
    <s v="Travel_Rarely"/>
    <n v="801"/>
    <x v="0"/>
    <n v="1"/>
    <n v="4"/>
    <s v="Marketing"/>
    <n v="1"/>
    <n v="2016"/>
    <x v="1"/>
    <x v="0"/>
    <x v="24"/>
    <x v="0"/>
    <x v="2"/>
    <x v="0"/>
    <x v="0"/>
    <x v="1"/>
    <x v="1317"/>
    <x v="1389"/>
    <x v="1"/>
    <s v="Y"/>
    <s v="No"/>
    <x v="12"/>
    <x v="0"/>
    <n v="3"/>
    <x v="0"/>
    <n v="2"/>
    <x v="19"/>
    <n v="3"/>
    <x v="1"/>
    <x v="13"/>
    <x v="15"/>
    <x v="8"/>
    <x v="1"/>
  </r>
  <r>
    <x v="2"/>
    <x v="1"/>
    <s v="Travel_Rarely"/>
    <n v="161"/>
    <x v="1"/>
    <n v="10"/>
    <n v="3"/>
    <s v="Life Sciences"/>
    <n v="1"/>
    <n v="2017"/>
    <x v="1"/>
    <x v="0"/>
    <x v="25"/>
    <x v="2"/>
    <x v="2"/>
    <x v="7"/>
    <x v="0"/>
    <x v="1"/>
    <x v="1318"/>
    <x v="1390"/>
    <x v="1"/>
    <s v="Y"/>
    <s v="Yes"/>
    <x v="14"/>
    <x v="1"/>
    <n v="1"/>
    <x v="0"/>
    <n v="1"/>
    <x v="28"/>
    <n v="2"/>
    <x v="1"/>
    <x v="22"/>
    <x v="14"/>
    <x v="7"/>
    <x v="5"/>
  </r>
  <r>
    <x v="36"/>
    <x v="1"/>
    <s v="Travel_Rarely"/>
    <n v="1382"/>
    <x v="0"/>
    <n v="8"/>
    <n v="2"/>
    <s v="Other"/>
    <n v="1"/>
    <n v="2018"/>
    <x v="3"/>
    <x v="0"/>
    <x v="65"/>
    <x v="0"/>
    <x v="0"/>
    <x v="0"/>
    <x v="2"/>
    <x v="2"/>
    <x v="274"/>
    <x v="1391"/>
    <x v="4"/>
    <s v="Y"/>
    <s v="Yes"/>
    <x v="6"/>
    <x v="1"/>
    <n v="2"/>
    <x v="0"/>
    <n v="1"/>
    <x v="3"/>
    <n v="3"/>
    <x v="2"/>
    <x v="8"/>
    <x v="7"/>
    <x v="0"/>
    <x v="10"/>
  </r>
  <r>
    <x v="39"/>
    <x v="1"/>
    <s v="Non-Travel"/>
    <n v="585"/>
    <x v="0"/>
    <n v="29"/>
    <n v="4"/>
    <s v="Life Sciences"/>
    <n v="1"/>
    <n v="2019"/>
    <x v="3"/>
    <x v="1"/>
    <x v="4"/>
    <x v="0"/>
    <x v="1"/>
    <x v="6"/>
    <x v="0"/>
    <x v="2"/>
    <x v="1319"/>
    <x v="1392"/>
    <x v="7"/>
    <s v="Y"/>
    <s v="No"/>
    <x v="2"/>
    <x v="0"/>
    <n v="2"/>
    <x v="0"/>
    <n v="2"/>
    <x v="28"/>
    <n v="3"/>
    <x v="2"/>
    <x v="7"/>
    <x v="6"/>
    <x v="0"/>
    <x v="2"/>
  </r>
  <r>
    <x v="20"/>
    <x v="1"/>
    <s v="Travel_Rarely"/>
    <n v="1037"/>
    <x v="1"/>
    <n v="1"/>
    <n v="3"/>
    <s v="Medical"/>
    <n v="1"/>
    <n v="2020"/>
    <x v="0"/>
    <x v="1"/>
    <x v="25"/>
    <x v="0"/>
    <x v="1"/>
    <x v="1"/>
    <x v="0"/>
    <x v="0"/>
    <x v="230"/>
    <x v="1393"/>
    <x v="2"/>
    <s v="Y"/>
    <s v="Yes"/>
    <x v="3"/>
    <x v="0"/>
    <n v="3"/>
    <x v="0"/>
    <n v="0"/>
    <x v="3"/>
    <n v="2"/>
    <x v="1"/>
    <x v="9"/>
    <x v="7"/>
    <x v="1"/>
    <x v="3"/>
  </r>
  <r>
    <x v="18"/>
    <x v="1"/>
    <s v="Travel_Rarely"/>
    <n v="501"/>
    <x v="0"/>
    <n v="5"/>
    <n v="1"/>
    <s v="Medical"/>
    <n v="1"/>
    <n v="2021"/>
    <x v="1"/>
    <x v="1"/>
    <x v="22"/>
    <x v="0"/>
    <x v="1"/>
    <x v="6"/>
    <x v="3"/>
    <x v="0"/>
    <x v="631"/>
    <x v="1394"/>
    <x v="1"/>
    <s v="Y"/>
    <s v="Yes"/>
    <x v="0"/>
    <x v="0"/>
    <n v="4"/>
    <x v="0"/>
    <n v="0"/>
    <x v="17"/>
    <n v="6"/>
    <x v="1"/>
    <x v="4"/>
    <x v="3"/>
    <x v="1"/>
    <x v="3"/>
  </r>
  <r>
    <x v="22"/>
    <x v="1"/>
    <s v="Non-Travel"/>
    <n v="105"/>
    <x v="1"/>
    <n v="9"/>
    <n v="3"/>
    <s v="Life Sciences"/>
    <n v="1"/>
    <n v="2022"/>
    <x v="2"/>
    <x v="1"/>
    <x v="44"/>
    <x v="0"/>
    <x v="4"/>
    <x v="5"/>
    <x v="0"/>
    <x v="0"/>
    <x v="1320"/>
    <x v="1395"/>
    <x v="7"/>
    <s v="Y"/>
    <s v="No"/>
    <x v="4"/>
    <x v="0"/>
    <n v="3"/>
    <x v="0"/>
    <n v="0"/>
    <x v="24"/>
    <n v="3"/>
    <x v="2"/>
    <x v="0"/>
    <x v="2"/>
    <x v="1"/>
    <x v="6"/>
  </r>
  <r>
    <x v="30"/>
    <x v="0"/>
    <s v="Travel_Frequently"/>
    <n v="638"/>
    <x v="0"/>
    <n v="9"/>
    <n v="3"/>
    <s v="Marketing"/>
    <n v="1"/>
    <n v="2023"/>
    <x v="2"/>
    <x v="1"/>
    <x v="30"/>
    <x v="0"/>
    <x v="1"/>
    <x v="6"/>
    <x v="3"/>
    <x v="1"/>
    <x v="1321"/>
    <x v="1396"/>
    <x v="1"/>
    <s v="Y"/>
    <s v="No"/>
    <x v="12"/>
    <x v="0"/>
    <n v="1"/>
    <x v="0"/>
    <n v="1"/>
    <x v="5"/>
    <n v="3"/>
    <x v="2"/>
    <x v="6"/>
    <x v="2"/>
    <x v="1"/>
    <x v="2"/>
  </r>
  <r>
    <x v="9"/>
    <x v="1"/>
    <s v="Travel_Rarely"/>
    <n v="557"/>
    <x v="0"/>
    <n v="3"/>
    <n v="3"/>
    <s v="Medical"/>
    <n v="1"/>
    <n v="2024"/>
    <x v="3"/>
    <x v="0"/>
    <x v="0"/>
    <x v="1"/>
    <x v="2"/>
    <x v="0"/>
    <x v="0"/>
    <x v="1"/>
    <x v="1322"/>
    <x v="1397"/>
    <x v="4"/>
    <s v="Y"/>
    <s v="No"/>
    <x v="12"/>
    <x v="0"/>
    <n v="3"/>
    <x v="0"/>
    <n v="2"/>
    <x v="1"/>
    <n v="2"/>
    <x v="1"/>
    <x v="7"/>
    <x v="1"/>
    <x v="2"/>
    <x v="10"/>
  </r>
  <r>
    <x v="9"/>
    <x v="1"/>
    <s v="Travel_Frequently"/>
    <n v="688"/>
    <x v="1"/>
    <n v="4"/>
    <n v="2"/>
    <s v="Life Sciences"/>
    <n v="1"/>
    <n v="2025"/>
    <x v="2"/>
    <x v="0"/>
    <x v="28"/>
    <x v="0"/>
    <x v="0"/>
    <x v="3"/>
    <x v="1"/>
    <x v="2"/>
    <x v="1323"/>
    <x v="1398"/>
    <x v="8"/>
    <s v="Y"/>
    <s v="No"/>
    <x v="4"/>
    <x v="0"/>
    <n v="2"/>
    <x v="0"/>
    <n v="3"/>
    <x v="33"/>
    <n v="3"/>
    <x v="1"/>
    <x v="9"/>
    <x v="3"/>
    <x v="0"/>
    <x v="3"/>
  </r>
  <r>
    <x v="29"/>
    <x v="1"/>
    <s v="Non-Travel"/>
    <n v="667"/>
    <x v="1"/>
    <n v="1"/>
    <n v="4"/>
    <s v="Life Sciences"/>
    <n v="1"/>
    <n v="2026"/>
    <x v="1"/>
    <x v="1"/>
    <x v="42"/>
    <x v="0"/>
    <x v="0"/>
    <x v="4"/>
    <x v="2"/>
    <x v="2"/>
    <x v="1324"/>
    <x v="1399"/>
    <x v="1"/>
    <s v="Y"/>
    <s v="No"/>
    <x v="7"/>
    <x v="1"/>
    <n v="1"/>
    <x v="0"/>
    <n v="1"/>
    <x v="10"/>
    <n v="2"/>
    <x v="2"/>
    <x v="20"/>
    <x v="16"/>
    <x v="1"/>
    <x v="12"/>
  </r>
  <r>
    <x v="11"/>
    <x v="0"/>
    <s v="Travel_Rarely"/>
    <n v="1092"/>
    <x v="1"/>
    <n v="1"/>
    <n v="4"/>
    <s v="Medical"/>
    <n v="1"/>
    <n v="2027"/>
    <x v="3"/>
    <x v="1"/>
    <x v="34"/>
    <x v="0"/>
    <x v="1"/>
    <x v="1"/>
    <x v="0"/>
    <x v="1"/>
    <x v="1325"/>
    <x v="1400"/>
    <x v="3"/>
    <s v="Y"/>
    <s v="Yes"/>
    <x v="9"/>
    <x v="0"/>
    <n v="2"/>
    <x v="0"/>
    <n v="3"/>
    <x v="21"/>
    <n v="3"/>
    <x v="3"/>
    <x v="4"/>
    <x v="3"/>
    <x v="3"/>
    <x v="3"/>
  </r>
  <r>
    <x v="19"/>
    <x v="1"/>
    <s v="Travel_Rarely"/>
    <n v="300"/>
    <x v="1"/>
    <n v="2"/>
    <n v="3"/>
    <s v="Life Sciences"/>
    <n v="1"/>
    <n v="2031"/>
    <x v="3"/>
    <x v="1"/>
    <x v="3"/>
    <x v="0"/>
    <x v="4"/>
    <x v="5"/>
    <x v="2"/>
    <x v="1"/>
    <x v="1326"/>
    <x v="1401"/>
    <x v="6"/>
    <s v="Y"/>
    <s v="No"/>
    <x v="0"/>
    <x v="0"/>
    <n v="1"/>
    <x v="0"/>
    <n v="0"/>
    <x v="13"/>
    <n v="2"/>
    <x v="2"/>
    <x v="14"/>
    <x v="8"/>
    <x v="5"/>
    <x v="17"/>
  </r>
  <r>
    <x v="29"/>
    <x v="0"/>
    <s v="Travel_Rarely"/>
    <n v="310"/>
    <x v="1"/>
    <n v="7"/>
    <n v="2"/>
    <s v="Technical Degree"/>
    <n v="1"/>
    <n v="2032"/>
    <x v="2"/>
    <x v="1"/>
    <x v="23"/>
    <x v="0"/>
    <x v="1"/>
    <x v="2"/>
    <x v="2"/>
    <x v="1"/>
    <x v="1327"/>
    <x v="1402"/>
    <x v="0"/>
    <s v="Y"/>
    <s v="No"/>
    <x v="0"/>
    <x v="0"/>
    <n v="4"/>
    <x v="0"/>
    <n v="1"/>
    <x v="19"/>
    <n v="4"/>
    <x v="0"/>
    <x v="1"/>
    <x v="5"/>
    <x v="10"/>
    <x v="5"/>
  </r>
  <r>
    <x v="0"/>
    <x v="1"/>
    <s v="Travel_Rarely"/>
    <n v="582"/>
    <x v="1"/>
    <n v="28"/>
    <n v="4"/>
    <s v="Life Sciences"/>
    <n v="1"/>
    <n v="2034"/>
    <x v="3"/>
    <x v="0"/>
    <x v="53"/>
    <x v="1"/>
    <x v="3"/>
    <x v="3"/>
    <x v="1"/>
    <x v="1"/>
    <x v="1328"/>
    <x v="1403"/>
    <x v="4"/>
    <s v="Y"/>
    <s v="No"/>
    <x v="1"/>
    <x v="1"/>
    <n v="3"/>
    <x v="0"/>
    <n v="1"/>
    <x v="24"/>
    <n v="3"/>
    <x v="1"/>
    <x v="23"/>
    <x v="1"/>
    <x v="0"/>
    <x v="13"/>
  </r>
  <r>
    <x v="13"/>
    <x v="1"/>
    <s v="Travel_Rarely"/>
    <n v="704"/>
    <x v="0"/>
    <n v="28"/>
    <n v="3"/>
    <s v="Marketing"/>
    <n v="1"/>
    <n v="2035"/>
    <x v="2"/>
    <x v="0"/>
    <x v="41"/>
    <x v="1"/>
    <x v="0"/>
    <x v="0"/>
    <x v="2"/>
    <x v="1"/>
    <x v="1329"/>
    <x v="1404"/>
    <x v="1"/>
    <s v="Y"/>
    <s v="No"/>
    <x v="7"/>
    <x v="1"/>
    <n v="4"/>
    <x v="0"/>
    <n v="2"/>
    <x v="0"/>
    <n v="2"/>
    <x v="1"/>
    <x v="3"/>
    <x v="1"/>
    <x v="1"/>
    <x v="1"/>
  </r>
  <r>
    <x v="9"/>
    <x v="1"/>
    <s v="Non-Travel"/>
    <n v="301"/>
    <x v="0"/>
    <n v="15"/>
    <n v="4"/>
    <s v="Marketing"/>
    <n v="1"/>
    <n v="2036"/>
    <x v="2"/>
    <x v="1"/>
    <x v="64"/>
    <x v="3"/>
    <x v="0"/>
    <x v="0"/>
    <x v="0"/>
    <x v="2"/>
    <x v="1330"/>
    <x v="1405"/>
    <x v="1"/>
    <s v="Y"/>
    <s v="No"/>
    <x v="13"/>
    <x v="1"/>
    <n v="1"/>
    <x v="0"/>
    <n v="1"/>
    <x v="20"/>
    <n v="4"/>
    <x v="2"/>
    <x v="15"/>
    <x v="16"/>
    <x v="14"/>
    <x v="7"/>
  </r>
  <r>
    <x v="0"/>
    <x v="1"/>
    <s v="Travel_Rarely"/>
    <n v="930"/>
    <x v="0"/>
    <n v="3"/>
    <n v="3"/>
    <s v="Life Sciences"/>
    <n v="1"/>
    <n v="2037"/>
    <x v="1"/>
    <x v="1"/>
    <x v="42"/>
    <x v="1"/>
    <x v="0"/>
    <x v="0"/>
    <x v="1"/>
    <x v="2"/>
    <x v="1331"/>
    <x v="1406"/>
    <x v="7"/>
    <s v="Y"/>
    <s v="No"/>
    <x v="0"/>
    <x v="0"/>
    <n v="3"/>
    <x v="0"/>
    <n v="1"/>
    <x v="19"/>
    <n v="5"/>
    <x v="1"/>
    <x v="8"/>
    <x v="0"/>
    <x v="0"/>
    <x v="10"/>
  </r>
  <r>
    <x v="5"/>
    <x v="1"/>
    <s v="Travel_Rarely"/>
    <n v="529"/>
    <x v="1"/>
    <n v="2"/>
    <n v="3"/>
    <s v="Technical Degree"/>
    <n v="1"/>
    <n v="2038"/>
    <x v="2"/>
    <x v="1"/>
    <x v="17"/>
    <x v="0"/>
    <x v="1"/>
    <x v="1"/>
    <x v="3"/>
    <x v="0"/>
    <x v="1234"/>
    <x v="1407"/>
    <x v="1"/>
    <s v="Y"/>
    <s v="No"/>
    <x v="9"/>
    <x v="0"/>
    <n v="4"/>
    <x v="0"/>
    <n v="0"/>
    <x v="21"/>
    <n v="4"/>
    <x v="1"/>
    <x v="9"/>
    <x v="3"/>
    <x v="1"/>
    <x v="3"/>
  </r>
  <r>
    <x v="10"/>
    <x v="1"/>
    <s v="Travel_Rarely"/>
    <n v="1146"/>
    <x v="2"/>
    <n v="26"/>
    <n v="4"/>
    <s v="Life Sciences"/>
    <n v="1"/>
    <n v="2040"/>
    <x v="1"/>
    <x v="0"/>
    <x v="11"/>
    <x v="0"/>
    <x v="2"/>
    <x v="8"/>
    <x v="0"/>
    <x v="0"/>
    <x v="1332"/>
    <x v="1408"/>
    <x v="1"/>
    <s v="Y"/>
    <s v="Yes"/>
    <x v="10"/>
    <x v="0"/>
    <n v="3"/>
    <x v="0"/>
    <n v="0"/>
    <x v="15"/>
    <n v="2"/>
    <x v="1"/>
    <x v="7"/>
    <x v="2"/>
    <x v="1"/>
    <x v="1"/>
  </r>
  <r>
    <x v="8"/>
    <x v="1"/>
    <s v="Travel_Rarely"/>
    <n v="345"/>
    <x v="0"/>
    <n v="10"/>
    <n v="2"/>
    <s v="Life Sciences"/>
    <n v="1"/>
    <n v="2041"/>
    <x v="3"/>
    <x v="0"/>
    <x v="54"/>
    <x v="0"/>
    <x v="0"/>
    <x v="0"/>
    <x v="0"/>
    <x v="1"/>
    <x v="798"/>
    <x v="1409"/>
    <x v="1"/>
    <s v="Y"/>
    <s v="No"/>
    <x v="0"/>
    <x v="0"/>
    <n v="3"/>
    <x v="0"/>
    <n v="1"/>
    <x v="1"/>
    <n v="1"/>
    <x v="1"/>
    <x v="1"/>
    <x v="1"/>
    <x v="1"/>
    <x v="12"/>
  </r>
  <r>
    <x v="24"/>
    <x v="0"/>
    <s v="Travel_Frequently"/>
    <n v="878"/>
    <x v="0"/>
    <n v="1"/>
    <n v="4"/>
    <s v="Life Sciences"/>
    <n v="1"/>
    <n v="2044"/>
    <x v="0"/>
    <x v="1"/>
    <x v="0"/>
    <x v="0"/>
    <x v="0"/>
    <x v="0"/>
    <x v="2"/>
    <x v="2"/>
    <x v="1333"/>
    <x v="1410"/>
    <x v="8"/>
    <s v="Y"/>
    <s v="No"/>
    <x v="3"/>
    <x v="0"/>
    <n v="4"/>
    <x v="0"/>
    <n v="2"/>
    <x v="4"/>
    <n v="3"/>
    <x v="1"/>
    <x v="0"/>
    <x v="7"/>
    <x v="0"/>
    <x v="9"/>
  </r>
  <r>
    <x v="9"/>
    <x v="1"/>
    <s v="Travel_Rarely"/>
    <n v="1120"/>
    <x v="0"/>
    <n v="11"/>
    <n v="4"/>
    <s v="Marketing"/>
    <n v="1"/>
    <n v="2045"/>
    <x v="0"/>
    <x v="0"/>
    <x v="54"/>
    <x v="1"/>
    <x v="0"/>
    <x v="0"/>
    <x v="0"/>
    <x v="1"/>
    <x v="1334"/>
    <x v="1411"/>
    <x v="5"/>
    <s v="Y"/>
    <s v="No"/>
    <x v="4"/>
    <x v="0"/>
    <n v="1"/>
    <x v="0"/>
    <n v="1"/>
    <x v="0"/>
    <n v="2"/>
    <x v="2"/>
    <x v="0"/>
    <x v="7"/>
    <x v="0"/>
    <x v="2"/>
  </r>
  <r>
    <x v="28"/>
    <x v="1"/>
    <s v="Travel_Rarely"/>
    <n v="374"/>
    <x v="0"/>
    <n v="20"/>
    <n v="3"/>
    <s v="Life Sciences"/>
    <n v="1"/>
    <n v="2046"/>
    <x v="2"/>
    <x v="0"/>
    <x v="13"/>
    <x v="0"/>
    <x v="0"/>
    <x v="0"/>
    <x v="2"/>
    <x v="0"/>
    <x v="1335"/>
    <x v="1412"/>
    <x v="0"/>
    <s v="Y"/>
    <s v="No"/>
    <x v="2"/>
    <x v="0"/>
    <n v="3"/>
    <x v="0"/>
    <n v="0"/>
    <x v="0"/>
    <n v="3"/>
    <x v="1"/>
    <x v="8"/>
    <x v="7"/>
    <x v="0"/>
    <x v="9"/>
  </r>
  <r>
    <x v="32"/>
    <x v="1"/>
    <s v="Travel_Rarely"/>
    <n v="1322"/>
    <x v="1"/>
    <n v="2"/>
    <n v="4"/>
    <s v="Life Sciences"/>
    <n v="1"/>
    <n v="2048"/>
    <x v="1"/>
    <x v="1"/>
    <x v="48"/>
    <x v="1"/>
    <x v="1"/>
    <x v="1"/>
    <x v="2"/>
    <x v="0"/>
    <x v="1336"/>
    <x v="1413"/>
    <x v="7"/>
    <s v="Y"/>
    <s v="No"/>
    <x v="9"/>
    <x v="0"/>
    <n v="4"/>
    <x v="0"/>
    <n v="0"/>
    <x v="0"/>
    <n v="2"/>
    <x v="1"/>
    <x v="4"/>
    <x v="3"/>
    <x v="3"/>
    <x v="3"/>
  </r>
  <r>
    <x v="10"/>
    <x v="1"/>
    <s v="Travel_Frequently"/>
    <n v="1199"/>
    <x v="1"/>
    <n v="18"/>
    <n v="4"/>
    <s v="Life Sciences"/>
    <n v="1"/>
    <n v="2049"/>
    <x v="1"/>
    <x v="1"/>
    <x v="15"/>
    <x v="0"/>
    <x v="0"/>
    <x v="4"/>
    <x v="2"/>
    <x v="1"/>
    <x v="1337"/>
    <x v="1414"/>
    <x v="1"/>
    <s v="Y"/>
    <s v="Yes"/>
    <x v="9"/>
    <x v="0"/>
    <n v="4"/>
    <x v="0"/>
    <n v="2"/>
    <x v="1"/>
    <n v="2"/>
    <x v="3"/>
    <x v="1"/>
    <x v="3"/>
    <x v="0"/>
    <x v="3"/>
  </r>
  <r>
    <x v="32"/>
    <x v="1"/>
    <s v="Travel_Rarely"/>
    <n v="1194"/>
    <x v="1"/>
    <n v="2"/>
    <n v="4"/>
    <s v="Medical"/>
    <n v="1"/>
    <n v="2051"/>
    <x v="1"/>
    <x v="0"/>
    <x v="33"/>
    <x v="0"/>
    <x v="1"/>
    <x v="1"/>
    <x v="2"/>
    <x v="1"/>
    <x v="1338"/>
    <x v="1415"/>
    <x v="7"/>
    <s v="Y"/>
    <s v="No"/>
    <x v="9"/>
    <x v="0"/>
    <n v="2"/>
    <x v="0"/>
    <n v="3"/>
    <x v="26"/>
    <n v="2"/>
    <x v="1"/>
    <x v="8"/>
    <x v="7"/>
    <x v="0"/>
    <x v="3"/>
  </r>
  <r>
    <x v="10"/>
    <x v="1"/>
    <s v="Travel_Rarely"/>
    <n v="287"/>
    <x v="1"/>
    <n v="1"/>
    <n v="4"/>
    <s v="Life Sciences"/>
    <n v="1"/>
    <n v="2052"/>
    <x v="1"/>
    <x v="0"/>
    <x v="50"/>
    <x v="3"/>
    <x v="1"/>
    <x v="1"/>
    <x v="0"/>
    <x v="1"/>
    <x v="1339"/>
    <x v="1226"/>
    <x v="1"/>
    <s v="Y"/>
    <s v="No"/>
    <x v="3"/>
    <x v="0"/>
    <n v="4"/>
    <x v="0"/>
    <n v="1"/>
    <x v="21"/>
    <n v="5"/>
    <x v="1"/>
    <x v="9"/>
    <x v="7"/>
    <x v="1"/>
    <x v="9"/>
  </r>
  <r>
    <x v="11"/>
    <x v="1"/>
    <s v="Travel_Rarely"/>
    <n v="1378"/>
    <x v="1"/>
    <n v="13"/>
    <n v="2"/>
    <s v="Other"/>
    <n v="1"/>
    <n v="2053"/>
    <x v="2"/>
    <x v="1"/>
    <x v="55"/>
    <x v="1"/>
    <x v="0"/>
    <x v="2"/>
    <x v="1"/>
    <x v="1"/>
    <x v="717"/>
    <x v="1416"/>
    <x v="5"/>
    <s v="Y"/>
    <s v="Yes"/>
    <x v="4"/>
    <x v="0"/>
    <n v="1"/>
    <x v="0"/>
    <n v="1"/>
    <x v="1"/>
    <n v="2"/>
    <x v="1"/>
    <x v="9"/>
    <x v="7"/>
    <x v="0"/>
    <x v="6"/>
  </r>
  <r>
    <x v="11"/>
    <x v="1"/>
    <s v="Travel_Rarely"/>
    <n v="468"/>
    <x v="1"/>
    <n v="28"/>
    <n v="4"/>
    <s v="Medical"/>
    <n v="1"/>
    <n v="2054"/>
    <x v="2"/>
    <x v="0"/>
    <x v="32"/>
    <x v="1"/>
    <x v="1"/>
    <x v="1"/>
    <x v="3"/>
    <x v="0"/>
    <x v="1340"/>
    <x v="1417"/>
    <x v="1"/>
    <s v="Y"/>
    <s v="No"/>
    <x v="9"/>
    <x v="0"/>
    <n v="2"/>
    <x v="0"/>
    <n v="0"/>
    <x v="7"/>
    <n v="3"/>
    <x v="0"/>
    <x v="8"/>
    <x v="0"/>
    <x v="0"/>
    <x v="10"/>
  </r>
  <r>
    <x v="24"/>
    <x v="0"/>
    <s v="Travel_Rarely"/>
    <n v="410"/>
    <x v="0"/>
    <n v="28"/>
    <n v="3"/>
    <s v="Marketing"/>
    <n v="1"/>
    <n v="2055"/>
    <x v="2"/>
    <x v="1"/>
    <x v="56"/>
    <x v="1"/>
    <x v="2"/>
    <x v="0"/>
    <x v="3"/>
    <x v="2"/>
    <x v="1341"/>
    <x v="1418"/>
    <x v="5"/>
    <s v="Y"/>
    <s v="Yes"/>
    <x v="4"/>
    <x v="0"/>
    <n v="2"/>
    <x v="0"/>
    <n v="1"/>
    <x v="26"/>
    <n v="3"/>
    <x v="1"/>
    <x v="11"/>
    <x v="3"/>
    <x v="3"/>
    <x v="2"/>
  </r>
  <r>
    <x v="22"/>
    <x v="1"/>
    <s v="Travel_Rarely"/>
    <n v="722"/>
    <x v="0"/>
    <n v="24"/>
    <n v="1"/>
    <s v="Marketing"/>
    <n v="1"/>
    <n v="2056"/>
    <x v="0"/>
    <x v="0"/>
    <x v="53"/>
    <x v="1"/>
    <x v="3"/>
    <x v="0"/>
    <x v="0"/>
    <x v="1"/>
    <x v="1342"/>
    <x v="1419"/>
    <x v="4"/>
    <s v="Y"/>
    <s v="No"/>
    <x v="0"/>
    <x v="0"/>
    <n v="1"/>
    <x v="0"/>
    <n v="1"/>
    <x v="24"/>
    <n v="2"/>
    <x v="2"/>
    <x v="23"/>
    <x v="5"/>
    <x v="10"/>
    <x v="4"/>
  </r>
  <r>
    <x v="12"/>
    <x v="1"/>
    <s v="Non-Travel"/>
    <n v="325"/>
    <x v="1"/>
    <n v="5"/>
    <n v="3"/>
    <s v="Medical"/>
    <n v="1"/>
    <n v="2057"/>
    <x v="0"/>
    <x v="1"/>
    <x v="69"/>
    <x v="0"/>
    <x v="0"/>
    <x v="3"/>
    <x v="3"/>
    <x v="0"/>
    <x v="1343"/>
    <x v="1420"/>
    <x v="4"/>
    <s v="Y"/>
    <s v="No"/>
    <x v="12"/>
    <x v="0"/>
    <n v="2"/>
    <x v="0"/>
    <n v="0"/>
    <x v="1"/>
    <n v="2"/>
    <x v="1"/>
    <x v="7"/>
    <x v="0"/>
    <x v="1"/>
    <x v="1"/>
  </r>
  <r>
    <x v="25"/>
    <x v="1"/>
    <s v="Travel_Rarely"/>
    <n v="1167"/>
    <x v="0"/>
    <n v="5"/>
    <n v="3"/>
    <s v="Other"/>
    <n v="1"/>
    <n v="2060"/>
    <x v="2"/>
    <x v="0"/>
    <x v="37"/>
    <x v="1"/>
    <x v="1"/>
    <x v="6"/>
    <x v="2"/>
    <x v="0"/>
    <x v="1344"/>
    <x v="1421"/>
    <x v="4"/>
    <s v="Y"/>
    <s v="No"/>
    <x v="11"/>
    <x v="0"/>
    <n v="4"/>
    <x v="0"/>
    <n v="0"/>
    <x v="7"/>
    <n v="2"/>
    <x v="1"/>
    <x v="9"/>
    <x v="3"/>
    <x v="0"/>
    <x v="2"/>
  </r>
  <r>
    <x v="9"/>
    <x v="1"/>
    <s v="Travel_Frequently"/>
    <n v="884"/>
    <x v="1"/>
    <n v="23"/>
    <n v="2"/>
    <s v="Medical"/>
    <n v="1"/>
    <n v="2061"/>
    <x v="1"/>
    <x v="1"/>
    <x v="26"/>
    <x v="2"/>
    <x v="0"/>
    <x v="2"/>
    <x v="0"/>
    <x v="1"/>
    <x v="1345"/>
    <x v="1422"/>
    <x v="5"/>
    <s v="Y"/>
    <s v="No"/>
    <x v="8"/>
    <x v="0"/>
    <n v="3"/>
    <x v="0"/>
    <n v="1"/>
    <x v="6"/>
    <n v="3"/>
    <x v="1"/>
    <x v="8"/>
    <x v="3"/>
    <x v="0"/>
    <x v="6"/>
  </r>
  <r>
    <x v="22"/>
    <x v="1"/>
    <s v="Travel_Rarely"/>
    <n v="613"/>
    <x v="1"/>
    <n v="6"/>
    <n v="1"/>
    <s v="Medical"/>
    <n v="1"/>
    <n v="2062"/>
    <x v="2"/>
    <x v="1"/>
    <x v="25"/>
    <x v="1"/>
    <x v="2"/>
    <x v="4"/>
    <x v="3"/>
    <x v="1"/>
    <x v="1346"/>
    <x v="1423"/>
    <x v="5"/>
    <s v="Y"/>
    <s v="No"/>
    <x v="2"/>
    <x v="0"/>
    <n v="1"/>
    <x v="0"/>
    <n v="1"/>
    <x v="15"/>
    <n v="5"/>
    <x v="1"/>
    <x v="5"/>
    <x v="1"/>
    <x v="1"/>
    <x v="1"/>
  </r>
  <r>
    <x v="4"/>
    <x v="1"/>
    <s v="Travel_Rarely"/>
    <n v="155"/>
    <x v="1"/>
    <n v="4"/>
    <n v="3"/>
    <s v="Life Sciences"/>
    <n v="1"/>
    <n v="2064"/>
    <x v="0"/>
    <x v="1"/>
    <x v="44"/>
    <x v="2"/>
    <x v="0"/>
    <x v="3"/>
    <x v="1"/>
    <x v="1"/>
    <x v="528"/>
    <x v="1424"/>
    <x v="1"/>
    <s v="Y"/>
    <s v="Yes"/>
    <x v="5"/>
    <x v="1"/>
    <n v="2"/>
    <x v="0"/>
    <n v="1"/>
    <x v="3"/>
    <n v="0"/>
    <x v="1"/>
    <x v="0"/>
    <x v="3"/>
    <x v="0"/>
    <x v="6"/>
  </r>
  <r>
    <x v="1"/>
    <x v="1"/>
    <s v="Travel_Frequently"/>
    <n v="1023"/>
    <x v="0"/>
    <n v="2"/>
    <n v="3"/>
    <s v="Medical"/>
    <n v="1"/>
    <n v="2065"/>
    <x v="2"/>
    <x v="1"/>
    <x v="52"/>
    <x v="1"/>
    <x v="0"/>
    <x v="0"/>
    <x v="1"/>
    <x v="1"/>
    <x v="1347"/>
    <x v="1425"/>
    <x v="7"/>
    <s v="Y"/>
    <s v="No"/>
    <x v="9"/>
    <x v="0"/>
    <n v="4"/>
    <x v="0"/>
    <n v="0"/>
    <x v="6"/>
    <n v="3"/>
    <x v="2"/>
    <x v="7"/>
    <x v="8"/>
    <x v="0"/>
    <x v="5"/>
  </r>
  <r>
    <x v="13"/>
    <x v="1"/>
    <s v="Travel_Rarely"/>
    <n v="628"/>
    <x v="1"/>
    <n v="8"/>
    <n v="3"/>
    <s v="Medical"/>
    <n v="1"/>
    <n v="2068"/>
    <x v="0"/>
    <x v="1"/>
    <x v="19"/>
    <x v="2"/>
    <x v="0"/>
    <x v="2"/>
    <x v="2"/>
    <x v="1"/>
    <x v="1348"/>
    <x v="1426"/>
    <x v="7"/>
    <s v="Y"/>
    <s v="No"/>
    <x v="3"/>
    <x v="0"/>
    <n v="1"/>
    <x v="0"/>
    <n v="0"/>
    <x v="3"/>
    <n v="3"/>
    <x v="3"/>
    <x v="9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6722C-3CA3-4555-9917-2B55340D89F2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erformance rating">
  <location ref="N12:P15" firstHeaderRow="0" firstDataRow="1" firstDataCol="1" rowPageCount="4" colPageCount="1"/>
  <pivotFields count="35">
    <pivotField axis="axisPage" multipleItemSelectionAllowed="1" showAll="0">
      <items count="44">
        <item h="1" x="41"/>
        <item h="1" x="37"/>
        <item h="1" x="35"/>
        <item h="1" x="18"/>
        <item h="1" x="15"/>
        <item h="1" x="30"/>
        <item h="1" x="17"/>
        <item h="1" x="36"/>
        <item h="1" x="25"/>
        <item h="1" x="4"/>
        <item h="1" x="14"/>
        <item x="11"/>
        <item x="7"/>
        <item x="12"/>
        <item h="1" x="5"/>
        <item h="1" x="3"/>
        <item h="1" x="13"/>
        <item h="1" x="10"/>
        <item h="1" x="9"/>
        <item h="1" x="2"/>
        <item h="1" x="8"/>
        <item h="1" x="22"/>
        <item h="1" x="32"/>
        <item h="1" x="0"/>
        <item h="1" x="19"/>
        <item h="1" x="23"/>
        <item h="1" x="20"/>
        <item h="1" x="28"/>
        <item h="1" x="21"/>
        <item h="1" x="40"/>
        <item h="1" x="26"/>
        <item h="1" x="1"/>
        <item h="1" x="24"/>
        <item h="1" x="31"/>
        <item h="1" x="39"/>
        <item h="1" x="16"/>
        <item h="1" x="33"/>
        <item h="1" x="27"/>
        <item h="1" x="29"/>
        <item h="1" x="38"/>
        <item h="1" x="34"/>
        <item h="1" x="6"/>
        <item h="1" x="42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Page" multipleItemSelectionAllowed="1" showAll="0">
      <items count="4"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dataField="1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10">
        <item h="1" x="4"/>
        <item h="1" x="8"/>
        <item x="2"/>
        <item h="1" x="5"/>
        <item h="1" x="3"/>
        <item h="1" x="7"/>
        <item h="1" x="1"/>
        <item x="0"/>
        <item h="1" x="6"/>
        <item t="default"/>
      </items>
    </pivotField>
    <pivotField dataField="1" showAll="0">
      <items count="5">
        <item x="3"/>
        <item x="1"/>
        <item x="2"/>
        <item x="0"/>
        <item t="default"/>
      </items>
    </pivotField>
    <pivotField showAll="0"/>
    <pivotField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4"/>
    <field x="26"/>
  </rowFields>
  <rowItems count="3">
    <i>
      <x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4">
    <pageField fld="1" hier="-1"/>
    <pageField fld="0" hier="-1"/>
    <pageField fld="4" hier="-1"/>
    <pageField fld="15" hier="-1"/>
  </pageFields>
  <dataFields count="2">
    <dataField name="Count of JobSatisfaction" fld="16" subtotal="count" baseField="24" baseItem="0"/>
    <dataField name="Count of EnvironmentSatisfaction" fld="10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C816E-D6AD-429C-97C5-9886022EE01E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nvironment Satisfaction ">
  <location ref="I14:J19" firstHeaderRow="1" firstDataRow="1" firstDataCol="1" rowPageCount="3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axis="axisPage" multipleItemSelectionAllowed="1" showAll="0">
      <items count="4"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1" hier="-1"/>
    <pageField fld="4" hier="-1"/>
    <pageField fld="11" hier="-1"/>
  </pageFields>
  <dataFields count="1">
    <dataField name="Count of Attrition" fld="1" subtotal="count" baseField="0" baseItem="0"/>
  </dataFields>
  <formats count="2">
    <format dxfId="1">
      <pivotArea collapsedLevelsAreSubtotals="1" fieldPosition="0">
        <references count="1">
          <reference field="10" count="1">
            <x v="0"/>
          </reference>
        </references>
      </pivotArea>
    </format>
    <format dxfId="0">
      <pivotArea dataOnly="0" labelOnly="1" fieldPosition="0">
        <references count="1">
          <reference field="10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CF20A-3568-48D2-BB3A-0E8462A5F630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4:J9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formats count="2">
    <format dxfId="3">
      <pivotArea collapsedLevelsAreSubtotals="1" fieldPosition="0">
        <references count="1">
          <reference field="10" count="1">
            <x v="0"/>
          </reference>
        </references>
      </pivotArea>
    </format>
    <format dxfId="2">
      <pivotArea dataOnly="0" labelOnly="1" fieldPosition="0">
        <references count="1">
          <reference field="10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E60B66-3FA0-4FEC-B121-1F29D0945EEC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Year at company ">
  <location ref="C25:D36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 measureFilter="1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showAll="0" measureFilter="1" sortType="descending">
      <items count="11">
        <item x="3"/>
        <item x="0"/>
        <item x="8"/>
        <item x="2"/>
        <item x="6"/>
        <item x="5"/>
        <item x="9"/>
        <item x="7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31"/>
  </rowFields>
  <rowItems count="11">
    <i>
      <x v="1"/>
    </i>
    <i>
      <x v="2"/>
    </i>
    <i>
      <x v="5"/>
    </i>
    <i>
      <x v="3"/>
    </i>
    <i>
      <x v="4"/>
    </i>
    <i>
      <x v="10"/>
    </i>
    <i>
      <x/>
    </i>
    <i>
      <x v="7"/>
    </i>
    <i>
      <x v="6"/>
    </i>
    <i>
      <x v="8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3">
    <filter fld="20" type="count" evalOrder="-1" id="2" iMeasureFld="0">
      <autoFilter ref="A1">
        <filterColumn colId="0">
          <top10 val="10" filterVal="10"/>
        </filterColumn>
      </autoFilter>
    </filter>
    <filter fld="18" type="count" evalOrder="-1" id="3" iMeasureFld="0">
      <autoFilter ref="A1">
        <filterColumn colId="0">
          <top10 val="2" filterVal="2"/>
        </filterColumn>
      </autoFilter>
    </filter>
    <filter fld="31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46508-17AA-455C-8409-2A9B8565D02F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C20:G22" firstHeaderRow="1" firstDataRow="2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showAll="0"/>
    <pivotField showAll="0">
      <items count="6">
        <item x="1"/>
        <item x="0"/>
        <item x="2"/>
        <item x="3"/>
        <item x="4"/>
        <item t="default"/>
      </items>
    </pivotField>
    <pivotField showAll="0" measureFilter="1" sortType="descending">
      <items count="10">
        <item x="4"/>
        <item sd="0" x="8"/>
        <item sd="0" x="2"/>
        <item x="5"/>
        <item x="3"/>
        <item x="7"/>
        <item sd="0" x="1"/>
        <item sd="0" x="0"/>
        <item sd="0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4">
        <item x="2"/>
        <item x="1"/>
        <item x="0"/>
        <item t="default"/>
      </items>
    </pivotField>
    <pivotField showAll="0" measureFilter="1" sortType="descending">
      <items count="1350">
        <item x="186"/>
        <item x="709"/>
        <item x="802"/>
        <item x="162"/>
        <item x="544"/>
        <item x="865"/>
        <item x="712"/>
        <item x="1152"/>
        <item x="846"/>
        <item x="900"/>
        <item x="950"/>
        <item x="1233"/>
        <item x="1070"/>
        <item x="1294"/>
        <item x="729"/>
        <item x="770"/>
        <item x="1050"/>
        <item x="1041"/>
        <item x="400"/>
        <item x="43"/>
        <item x="120"/>
        <item x="229"/>
        <item x="479"/>
        <item x="456"/>
        <item x="251"/>
        <item x="1320"/>
        <item x="681"/>
        <item x="381"/>
        <item x="1232"/>
        <item x="1049"/>
        <item x="1185"/>
        <item x="318"/>
        <item x="570"/>
        <item x="725"/>
        <item x="227"/>
        <item x="239"/>
        <item x="389"/>
        <item x="869"/>
        <item x="519"/>
        <item x="899"/>
        <item x="1274"/>
        <item x="272"/>
        <item x="516"/>
        <item x="25"/>
        <item x="820"/>
        <item x="233"/>
        <item x="1058"/>
        <item x="264"/>
        <item x="1172"/>
        <item x="182"/>
        <item x="29"/>
        <item x="1326"/>
        <item x="102"/>
        <item x="860"/>
        <item x="863"/>
        <item x="59"/>
        <item x="183"/>
        <item x="847"/>
        <item x="283"/>
        <item x="809"/>
        <item x="560"/>
        <item x="705"/>
        <item x="321"/>
        <item x="851"/>
        <item x="854"/>
        <item x="460"/>
        <item x="103"/>
        <item x="882"/>
        <item x="406"/>
        <item x="625"/>
        <item x="1271"/>
        <item x="417"/>
        <item x="818"/>
        <item x="842"/>
        <item x="755"/>
        <item x="716"/>
        <item x="564"/>
        <item x="1098"/>
        <item x="273"/>
        <item x="1053"/>
        <item x="766"/>
        <item x="677"/>
        <item x="1097"/>
        <item x="679"/>
        <item x="109"/>
        <item x="144"/>
        <item x="1250"/>
        <item x="963"/>
        <item x="583"/>
        <item x="883"/>
        <item x="666"/>
        <item x="307"/>
        <item x="812"/>
        <item x="414"/>
        <item x="989"/>
        <item x="116"/>
        <item x="760"/>
        <item x="890"/>
        <item x="257"/>
        <item x="538"/>
        <item x="432"/>
        <item x="1248"/>
        <item x="941"/>
        <item x="190"/>
        <item x="732"/>
        <item x="568"/>
        <item x="1137"/>
        <item x="368"/>
        <item x="471"/>
        <item x="1009"/>
        <item x="978"/>
        <item x="450"/>
        <item x="397"/>
        <item x="1023"/>
        <item x="954"/>
        <item x="1089"/>
        <item x="1007"/>
        <item x="590"/>
        <item x="1206"/>
        <item x="441"/>
        <item x="852"/>
        <item x="231"/>
        <item x="1006"/>
        <item x="293"/>
        <item x="339"/>
        <item x="1107"/>
        <item x="1214"/>
        <item x="18"/>
        <item x="474"/>
        <item x="1108"/>
        <item x="1080"/>
        <item x="668"/>
        <item x="515"/>
        <item x="62"/>
        <item x="951"/>
        <item x="1015"/>
        <item x="379"/>
        <item x="621"/>
        <item x="413"/>
        <item x="906"/>
        <item x="686"/>
        <item x="1094"/>
        <item x="309"/>
        <item x="95"/>
        <item x="601"/>
        <item x="525"/>
        <item x="791"/>
        <item x="976"/>
        <item x="1318"/>
        <item x="185"/>
        <item x="706"/>
        <item x="919"/>
        <item x="240"/>
        <item x="75"/>
        <item x="423"/>
        <item x="269"/>
        <item x="211"/>
        <item x="650"/>
        <item x="861"/>
        <item x="1328"/>
        <item x="92"/>
        <item x="288"/>
        <item x="87"/>
        <item x="790"/>
        <item x="262"/>
        <item x="1190"/>
        <item x="53"/>
        <item x="920"/>
        <item x="1255"/>
        <item x="1296"/>
        <item x="713"/>
        <item x="1090"/>
        <item x="937"/>
        <item x="74"/>
        <item x="435"/>
        <item x="1229"/>
        <item x="390"/>
        <item x="1316"/>
        <item x="673"/>
        <item x="835"/>
        <item x="915"/>
        <item x="776"/>
        <item x="1183"/>
        <item x="1176"/>
        <item x="1135"/>
        <item x="584"/>
        <item x="702"/>
        <item x="343"/>
        <item x="209"/>
        <item x="218"/>
        <item x="769"/>
        <item x="300"/>
        <item x="1342"/>
        <item x="270"/>
        <item x="22"/>
        <item x="1309"/>
        <item x="409"/>
        <item x="893"/>
        <item x="719"/>
        <item x="306"/>
        <item x="265"/>
        <item x="618"/>
        <item x="522"/>
        <item x="566"/>
        <item x="113"/>
        <item x="442"/>
        <item x="332"/>
        <item x="695"/>
        <item x="1056"/>
        <item x="1005"/>
        <item x="512"/>
        <item x="530"/>
        <item x="1298"/>
        <item x="700"/>
        <item x="744"/>
        <item x="364"/>
        <item x="245"/>
        <item x="598"/>
        <item x="444"/>
        <item x="935"/>
        <item x="619"/>
        <item x="1122"/>
        <item x="715"/>
        <item x="155"/>
        <item x="1341"/>
        <item x="970"/>
        <item x="688"/>
        <item x="768"/>
        <item x="733"/>
        <item x="967"/>
        <item x="599"/>
        <item x="1133"/>
        <item x="693"/>
        <item x="492"/>
        <item x="730"/>
        <item x="607"/>
        <item x="90"/>
        <item x="133"/>
        <item x="422"/>
        <item x="219"/>
        <item x="930"/>
        <item x="644"/>
        <item x="449"/>
        <item x="866"/>
        <item x="838"/>
        <item x="357"/>
        <item x="746"/>
        <item x="514"/>
        <item x="988"/>
        <item x="174"/>
        <item x="1289"/>
        <item x="1200"/>
        <item x="762"/>
        <item x="1072"/>
        <item x="1317"/>
        <item x="206"/>
        <item x="694"/>
        <item x="836"/>
        <item x="1146"/>
        <item x="1208"/>
        <item x="661"/>
        <item x="742"/>
        <item x="123"/>
        <item x="1076"/>
        <item x="797"/>
        <item x="415"/>
        <item x="830"/>
        <item x="28"/>
        <item x="79"/>
        <item x="873"/>
        <item x="585"/>
        <item x="993"/>
        <item x="1036"/>
        <item x="1021"/>
        <item x="61"/>
        <item x="244"/>
        <item x="910"/>
        <item x="933"/>
        <item x="1346"/>
        <item x="325"/>
        <item x="208"/>
        <item x="15"/>
        <item x="739"/>
        <item x="428"/>
        <item x="1343"/>
        <item x="1043"/>
        <item x="1228"/>
        <item x="1280"/>
        <item x="51"/>
        <item x="1267"/>
        <item x="895"/>
        <item x="427"/>
        <item x="1153"/>
        <item x="114"/>
        <item x="718"/>
        <item x="64"/>
        <item x="1019"/>
        <item x="1032"/>
        <item x="1243"/>
        <item x="653"/>
        <item x="350"/>
        <item x="1287"/>
        <item x="1201"/>
        <item x="1211"/>
        <item x="86"/>
        <item x="297"/>
        <item x="1151"/>
        <item x="468"/>
        <item x="748"/>
        <item x="184"/>
        <item x="8"/>
        <item x="1123"/>
        <item x="160"/>
        <item x="488"/>
        <item x="164"/>
        <item x="205"/>
        <item x="973"/>
        <item x="944"/>
        <item x="356"/>
        <item x="952"/>
        <item x="1034"/>
        <item x="1130"/>
        <item x="128"/>
        <item x="965"/>
        <item x="891"/>
        <item x="421"/>
        <item x="54"/>
        <item x="151"/>
        <item x="821"/>
        <item x="317"/>
        <item x="1331"/>
        <item x="1203"/>
        <item x="214"/>
        <item x="731"/>
        <item x="1048"/>
        <item x="493"/>
        <item x="1332"/>
        <item x="451"/>
        <item x="741"/>
        <item x="518"/>
        <item x="224"/>
        <item x="763"/>
        <item x="42"/>
        <item x="737"/>
        <item x="165"/>
        <item x="135"/>
        <item x="1306"/>
        <item x="1281"/>
        <item x="505"/>
        <item x="994"/>
        <item x="1010"/>
        <item x="1224"/>
        <item x="1164"/>
        <item x="902"/>
        <item x="207"/>
        <item x="977"/>
        <item x="892"/>
        <item x="412"/>
        <item x="727"/>
        <item x="392"/>
        <item x="484"/>
        <item x="855"/>
        <item x="1008"/>
        <item x="1156"/>
        <item x="1186"/>
        <item x="334"/>
        <item x="1047"/>
        <item x="783"/>
        <item x="130"/>
        <item x="1166"/>
        <item x="501"/>
        <item x="1257"/>
        <item x="335"/>
        <item x="290"/>
        <item x="1086"/>
        <item x="1191"/>
        <item x="947"/>
        <item x="875"/>
        <item x="395"/>
        <item x="1078"/>
        <item x="223"/>
        <item x="913"/>
        <item x="672"/>
        <item x="1126"/>
        <item x="523"/>
        <item x="1128"/>
        <item x="671"/>
        <item x="772"/>
        <item x="751"/>
        <item x="491"/>
        <item x="765"/>
        <item x="581"/>
        <item x="1322"/>
        <item x="624"/>
        <item x="201"/>
        <item x="60"/>
        <item x="426"/>
        <item x="510"/>
        <item x="373"/>
        <item x="545"/>
        <item x="949"/>
        <item x="313"/>
        <item x="720"/>
        <item x="1292"/>
        <item x="448"/>
        <item x="107"/>
        <item x="327"/>
        <item x="969"/>
        <item x="1026"/>
        <item x="112"/>
        <item x="511"/>
        <item x="438"/>
        <item x="646"/>
        <item x="827"/>
        <item x="767"/>
        <item x="789"/>
        <item x="1235"/>
        <item x="148"/>
        <item x="669"/>
        <item x="82"/>
        <item x="333"/>
        <item x="1160"/>
        <item x="747"/>
        <item x="481"/>
        <item x="887"/>
        <item x="1013"/>
        <item x="1109"/>
        <item x="1116"/>
        <item x="1218"/>
        <item x="662"/>
        <item x="648"/>
        <item x="248"/>
        <item x="296"/>
        <item x="907"/>
        <item x="1143"/>
        <item x="576"/>
        <item x="1199"/>
        <item x="710"/>
        <item x="1210"/>
        <item x="832"/>
        <item x="1096"/>
        <item x="1262"/>
        <item x="843"/>
        <item x="27"/>
        <item x="1045"/>
        <item x="844"/>
        <item x="445"/>
        <item x="197"/>
        <item x="1205"/>
        <item x="509"/>
        <item x="771"/>
        <item x="347"/>
        <item x="351"/>
        <item x="1148"/>
        <item x="1333"/>
        <item x="660"/>
        <item x="1329"/>
        <item x="212"/>
        <item x="752"/>
        <item x="926"/>
        <item x="889"/>
        <item x="200"/>
        <item x="1284"/>
        <item x="349"/>
        <item x="1334"/>
        <item x="979"/>
        <item x="490"/>
        <item x="259"/>
        <item x="541"/>
        <item x="850"/>
        <item x="634"/>
        <item x="1256"/>
        <item x="437"/>
        <item x="795"/>
        <item x="391"/>
        <item x="126"/>
        <item x="194"/>
        <item x="1003"/>
        <item x="247"/>
        <item x="361"/>
        <item x="382"/>
        <item x="613"/>
        <item x="1141"/>
        <item x="1204"/>
        <item x="267"/>
        <item x="559"/>
        <item x="63"/>
        <item x="806"/>
        <item x="1150"/>
        <item x="31"/>
        <item x="455"/>
        <item x="1030"/>
        <item x="243"/>
        <item x="1140"/>
        <item x="303"/>
        <item x="271"/>
        <item x="1031"/>
        <item x="529"/>
        <item x="1004"/>
        <item x="708"/>
        <item x="1226"/>
        <item x="358"/>
        <item x="922"/>
        <item x="323"/>
        <item x="136"/>
        <item x="602"/>
        <item x="1302"/>
        <item x="482"/>
        <item x="1324"/>
        <item x="1159"/>
        <item x="579"/>
        <item x="543"/>
        <item x="458"/>
        <item x="195"/>
        <item x="642"/>
        <item x="936"/>
        <item x="433"/>
        <item x="70"/>
        <item x="331"/>
        <item x="881"/>
        <item x="595"/>
        <item x="540"/>
        <item x="928"/>
        <item x="121"/>
        <item x="57"/>
        <item x="896"/>
        <item x="118"/>
        <item x="528"/>
        <item x="1147"/>
        <item x="153"/>
        <item x="908"/>
        <item x="929"/>
        <item x="330"/>
        <item x="399"/>
        <item x="1033"/>
        <item x="108"/>
        <item x="572"/>
        <item x="337"/>
        <item x="1178"/>
        <item x="0"/>
        <item x="475"/>
        <item x="554"/>
        <item x="344"/>
        <item x="1291"/>
        <item x="241"/>
        <item x="215"/>
        <item x="591"/>
        <item x="188"/>
        <item x="56"/>
        <item x="216"/>
        <item x="1246"/>
        <item x="134"/>
        <item x="1028"/>
        <item x="1085"/>
        <item x="658"/>
        <item x="286"/>
        <item x="1188"/>
        <item x="1169"/>
        <item x="957"/>
        <item x="316"/>
        <item x="46"/>
        <item x="1075"/>
        <item x="939"/>
        <item x="1073"/>
        <item x="990"/>
        <item x="1194"/>
        <item x="1266"/>
        <item x="280"/>
        <item x="104"/>
        <item x="1079"/>
        <item x="1264"/>
        <item x="785"/>
        <item x="376"/>
        <item x="787"/>
        <item x="1337"/>
        <item x="473"/>
        <item x="1303"/>
        <item x="1219"/>
        <item x="298"/>
        <item x="1242"/>
        <item x="670"/>
        <item x="295"/>
        <item x="301"/>
        <item x="958"/>
        <item x="1288"/>
        <item x="147"/>
        <item x="761"/>
        <item x="260"/>
        <item x="452"/>
        <item x="622"/>
        <item x="489"/>
        <item x="1193"/>
        <item x="1253"/>
        <item x="1102"/>
        <item x="680"/>
        <item x="1261"/>
        <item x="974"/>
        <item x="551"/>
        <item x="299"/>
        <item x="292"/>
        <item x="1104"/>
        <item x="67"/>
        <item x="698"/>
        <item x="1103"/>
        <item x="1182"/>
        <item x="931"/>
        <item x="466"/>
        <item x="50"/>
        <item x="88"/>
        <item x="1081"/>
        <item x="1092"/>
        <item x="923"/>
        <item x="276"/>
        <item x="874"/>
        <item x="1330"/>
        <item x="517"/>
        <item x="1260"/>
        <item x="508"/>
        <item x="1347"/>
        <item x="48"/>
        <item x="1268"/>
        <item x="1064"/>
        <item x="39"/>
        <item x="1283"/>
        <item x="1111"/>
        <item x="917"/>
        <item x="1112"/>
        <item x="800"/>
        <item x="798"/>
        <item x="447"/>
        <item x="1061"/>
        <item x="80"/>
        <item x="549"/>
        <item x="567"/>
        <item x="1308"/>
        <item x="535"/>
        <item x="367"/>
        <item x="983"/>
        <item x="346"/>
        <item x="1088"/>
        <item x="1167"/>
        <item x="193"/>
        <item x="355"/>
        <item x="322"/>
        <item x="363"/>
        <item x="255"/>
        <item x="319"/>
        <item x="9"/>
        <item x="615"/>
        <item x="311"/>
        <item x="828"/>
        <item x="304"/>
        <item x="89"/>
        <item x="1066"/>
        <item x="1022"/>
        <item x="1087"/>
        <item x="626"/>
        <item x="600"/>
        <item x="845"/>
        <item x="101"/>
        <item x="582"/>
        <item x="792"/>
        <item x="1217"/>
        <item x="1269"/>
        <item x="1162"/>
        <item x="1323"/>
        <item x="1"/>
        <item x="77"/>
        <item x="537"/>
        <item x="1312"/>
        <item x="575"/>
        <item x="534"/>
        <item x="1275"/>
        <item x="675"/>
        <item x="918"/>
        <item x="416"/>
        <item x="674"/>
        <item x="1051"/>
        <item x="780"/>
        <item x="314"/>
        <item x="1074"/>
        <item x="1251"/>
        <item x="76"/>
        <item x="91"/>
        <item x="170"/>
        <item x="701"/>
        <item x="93"/>
        <item x="829"/>
        <item x="1145"/>
        <item x="711"/>
        <item x="775"/>
        <item x="119"/>
        <item x="513"/>
        <item x="833"/>
        <item x="132"/>
        <item x="365"/>
        <item x="1127"/>
        <item x="630"/>
        <item x="274"/>
        <item x="987"/>
        <item x="249"/>
        <item x="884"/>
        <item x="1313"/>
        <item x="1067"/>
        <item x="204"/>
        <item x="324"/>
        <item x="446"/>
        <item x="1037"/>
        <item x="499"/>
        <item x="1335"/>
        <item x="1017"/>
        <item x="721"/>
        <item x="302"/>
        <item x="401"/>
        <item x="100"/>
        <item x="439"/>
        <item x="1001"/>
        <item x="1245"/>
        <item x="1325"/>
        <item x="586"/>
        <item x="707"/>
        <item x="603"/>
        <item x="1236"/>
        <item x="1273"/>
        <item x="985"/>
        <item x="784"/>
        <item x="632"/>
        <item x="982"/>
        <item x="277"/>
        <item x="127"/>
        <item x="345"/>
        <item x="1100"/>
        <item x="757"/>
        <item x="927"/>
        <item x="1046"/>
        <item x="655"/>
        <item x="434"/>
        <item x="453"/>
        <item x="878"/>
        <item x="1213"/>
        <item x="320"/>
        <item x="503"/>
        <item x="649"/>
        <item x="141"/>
        <item x="1062"/>
        <item x="903"/>
        <item x="340"/>
        <item x="1222"/>
        <item x="502"/>
        <item x="912"/>
        <item x="886"/>
        <item x="743"/>
        <item x="1300"/>
        <item x="735"/>
        <item x="925"/>
        <item x="665"/>
        <item x="991"/>
        <item x="998"/>
        <item x="1099"/>
        <item x="506"/>
        <item x="44"/>
        <item x="129"/>
        <item x="393"/>
        <item x="398"/>
        <item x="275"/>
        <item x="507"/>
        <item x="825"/>
        <item x="823"/>
        <item x="864"/>
        <item x="623"/>
        <item x="894"/>
        <item x="402"/>
        <item x="385"/>
        <item x="749"/>
        <item x="1163"/>
        <item x="111"/>
        <item x="1132"/>
        <item x="870"/>
        <item x="386"/>
        <item x="284"/>
        <item x="312"/>
        <item x="805"/>
        <item x="237"/>
        <item x="180"/>
        <item x="387"/>
        <item x="1209"/>
        <item x="663"/>
        <item x="867"/>
        <item x="1299"/>
        <item x="578"/>
        <item x="192"/>
        <item x="72"/>
        <item x="796"/>
        <item x="794"/>
        <item x="1348"/>
        <item x="596"/>
        <item x="1129"/>
        <item x="960"/>
        <item x="1254"/>
        <item x="1060"/>
        <item x="573"/>
        <item x="555"/>
        <item x="689"/>
        <item x="1095"/>
        <item x="981"/>
        <item x="547"/>
        <item x="220"/>
        <item x="552"/>
        <item x="548"/>
        <item x="1297"/>
        <item x="817"/>
        <item x="81"/>
        <item x="788"/>
        <item x="1020"/>
        <item x="152"/>
        <item x="139"/>
        <item x="73"/>
        <item x="383"/>
        <item x="758"/>
        <item x="196"/>
        <item x="654"/>
        <item x="486"/>
        <item x="1018"/>
        <item x="948"/>
        <item x="779"/>
        <item x="440"/>
        <item x="369"/>
        <item x="546"/>
        <item x="171"/>
        <item x="610"/>
        <item x="905"/>
        <item x="558"/>
        <item x="699"/>
        <item x="464"/>
        <item x="418"/>
        <item x="703"/>
        <item x="94"/>
        <item x="1196"/>
        <item x="137"/>
        <item x="1044"/>
        <item x="378"/>
        <item x="606"/>
        <item x="11"/>
        <item x="1184"/>
        <item x="1101"/>
        <item x="636"/>
        <item x="684"/>
        <item x="964"/>
        <item x="52"/>
        <item x="85"/>
        <item x="691"/>
        <item x="1197"/>
        <item x="816"/>
        <item x="1315"/>
        <item x="726"/>
        <item x="1286"/>
        <item x="904"/>
        <item x="470"/>
        <item x="1038"/>
        <item x="1014"/>
        <item x="938"/>
        <item x="934"/>
        <item x="1187"/>
        <item x="1025"/>
        <item x="1065"/>
        <item x="431"/>
        <item x="593"/>
        <item x="996"/>
        <item x="777"/>
        <item x="394"/>
        <item x="500"/>
        <item x="717"/>
        <item x="55"/>
        <item x="20"/>
        <item x="1175"/>
        <item x="261"/>
        <item x="1114"/>
        <item x="1121"/>
        <item x="329"/>
        <item x="1258"/>
        <item x="1305"/>
        <item x="966"/>
        <item x="1227"/>
        <item x="738"/>
        <item x="19"/>
        <item x="1077"/>
        <item x="234"/>
        <item x="176"/>
        <item x="242"/>
        <item x="26"/>
        <item x="704"/>
        <item x="1142"/>
        <item x="885"/>
        <item x="1237"/>
        <item x="430"/>
        <item x="1247"/>
        <item x="520"/>
        <item x="876"/>
        <item x="997"/>
        <item x="557"/>
        <item x="362"/>
        <item x="198"/>
        <item x="1221"/>
        <item x="1340"/>
        <item x="419"/>
        <item x="597"/>
        <item x="841"/>
        <item x="436"/>
        <item x="1304"/>
        <item x="690"/>
        <item x="587"/>
        <item x="235"/>
        <item x="972"/>
        <item x="524"/>
        <item x="1180"/>
        <item x="326"/>
        <item x="848"/>
        <item x="753"/>
        <item x="179"/>
        <item x="291"/>
        <item x="465"/>
        <item x="984"/>
        <item x="909"/>
        <item x="745"/>
        <item x="968"/>
        <item x="683"/>
        <item x="943"/>
        <item x="463"/>
        <item x="659"/>
        <item x="814"/>
        <item x="793"/>
        <item x="1212"/>
        <item x="611"/>
        <item x="834"/>
        <item x="946"/>
        <item x="191"/>
        <item x="901"/>
        <item x="1230"/>
        <item x="1177"/>
        <item x="1120"/>
        <item x="1082"/>
        <item x="871"/>
        <item x="542"/>
        <item x="961"/>
        <item x="824"/>
        <item x="258"/>
        <item x="1319"/>
        <item x="253"/>
        <item x="1139"/>
        <item x="4"/>
        <item x="315"/>
        <item x="138"/>
        <item x="380"/>
        <item x="478"/>
        <item x="1157"/>
        <item x="49"/>
        <item x="1138"/>
        <item x="592"/>
        <item x="888"/>
        <item x="959"/>
        <item x="38"/>
        <item x="424"/>
        <item x="21"/>
        <item x="66"/>
        <item x="1192"/>
        <item x="740"/>
        <item x="1311"/>
        <item x="496"/>
        <item x="154"/>
        <item x="879"/>
        <item x="238"/>
        <item x="1057"/>
        <item x="282"/>
        <item x="1115"/>
        <item x="16"/>
        <item x="1149"/>
        <item x="635"/>
        <item x="778"/>
        <item x="550"/>
        <item x="268"/>
        <item x="945"/>
        <item x="504"/>
        <item x="226"/>
        <item x="1063"/>
        <item x="263"/>
        <item x="142"/>
        <item x="403"/>
        <item x="774"/>
        <item x="819"/>
        <item x="1113"/>
        <item x="1002"/>
        <item x="992"/>
        <item x="612"/>
        <item x="279"/>
        <item x="563"/>
        <item x="1189"/>
        <item x="178"/>
        <item x="803"/>
        <item x="1068"/>
        <item x="371"/>
        <item x="169"/>
        <item x="1071"/>
        <item x="5"/>
        <item x="1307"/>
        <item x="1278"/>
        <item x="166"/>
        <item x="536"/>
        <item x="1173"/>
        <item x="477"/>
        <item x="71"/>
        <item x="375"/>
        <item x="807"/>
        <item x="45"/>
        <item x="932"/>
        <item x="856"/>
        <item x="1293"/>
        <item x="425"/>
        <item x="759"/>
        <item x="1339"/>
        <item x="338"/>
        <item x="1131"/>
        <item x="620"/>
        <item x="1040"/>
        <item x="1344"/>
        <item x="24"/>
        <item x="98"/>
        <item x="942"/>
        <item x="131"/>
        <item x="808"/>
        <item x="17"/>
        <item x="1249"/>
        <item x="1161"/>
        <item x="1124"/>
        <item x="99"/>
        <item x="12"/>
        <item x="3"/>
        <item x="336"/>
        <item x="614"/>
        <item x="1290"/>
        <item x="105"/>
        <item x="407"/>
        <item x="859"/>
        <item x="106"/>
        <item x="1282"/>
        <item x="1276"/>
        <item x="1144"/>
        <item x="78"/>
        <item x="1285"/>
        <item x="1239"/>
        <item x="811"/>
        <item x="354"/>
        <item x="781"/>
        <item x="877"/>
        <item x="1314"/>
        <item x="469"/>
        <item x="115"/>
        <item x="801"/>
        <item x="724"/>
        <item x="498"/>
        <item x="604"/>
        <item x="1055"/>
        <item x="682"/>
        <item x="1279"/>
        <item x="1336"/>
        <item x="1231"/>
        <item x="617"/>
        <item x="643"/>
        <item x="628"/>
        <item x="254"/>
        <item x="222"/>
        <item x="773"/>
        <item x="285"/>
        <item x="924"/>
        <item x="1091"/>
        <item x="553"/>
        <item x="831"/>
        <item x="637"/>
        <item x="110"/>
        <item x="480"/>
        <item x="420"/>
        <item x="1171"/>
        <item x="1158"/>
        <item x="527"/>
        <item x="181"/>
        <item x="714"/>
        <item x="975"/>
        <item x="199"/>
        <item x="1110"/>
        <item x="457"/>
        <item x="252"/>
        <item x="143"/>
        <item x="1168"/>
        <item x="359"/>
        <item x="159"/>
        <item x="232"/>
        <item x="1225"/>
        <item x="1207"/>
        <item x="68"/>
        <item x="569"/>
        <item x="341"/>
        <item x="305"/>
        <item x="562"/>
        <item x="7"/>
        <item x="485"/>
        <item x="1052"/>
        <item x="539"/>
        <item x="687"/>
        <item x="36"/>
        <item x="1179"/>
        <item x="826"/>
        <item x="6"/>
        <item x="1238"/>
        <item x="13"/>
        <item x="1310"/>
        <item x="487"/>
        <item x="210"/>
        <item x="1117"/>
        <item x="396"/>
        <item x="1301"/>
        <item x="35"/>
        <item x="1029"/>
        <item x="526"/>
        <item x="140"/>
        <item x="862"/>
        <item x="217"/>
        <item x="472"/>
        <item x="117"/>
        <item x="353"/>
        <item x="696"/>
        <item x="756"/>
        <item x="250"/>
        <item x="1195"/>
        <item x="1105"/>
        <item x="853"/>
        <item x="1083"/>
        <item x="476"/>
        <item x="377"/>
        <item x="556"/>
        <item x="1345"/>
        <item x="1119"/>
        <item x="161"/>
        <item x="411"/>
        <item x="999"/>
        <item x="594"/>
        <item x="580"/>
        <item x="804"/>
        <item x="410"/>
        <item x="1259"/>
        <item x="366"/>
        <item x="786"/>
        <item x="914"/>
        <item x="629"/>
        <item x="125"/>
        <item x="656"/>
        <item x="849"/>
        <item x="605"/>
        <item x="764"/>
        <item x="571"/>
        <item x="69"/>
        <item x="172"/>
        <item x="30"/>
        <item x="667"/>
        <item x="310"/>
        <item x="370"/>
        <item x="1241"/>
        <item x="1165"/>
        <item x="736"/>
        <item x="308"/>
        <item x="163"/>
        <item x="533"/>
        <item x="1106"/>
        <item x="1234"/>
        <item x="1198"/>
        <item x="1170"/>
        <item x="230"/>
        <item x="1272"/>
        <item x="1027"/>
        <item x="10"/>
        <item x="697"/>
        <item x="652"/>
        <item x="1054"/>
        <item x="58"/>
        <item x="639"/>
        <item x="454"/>
        <item x="1181"/>
        <item x="940"/>
        <item x="225"/>
        <item x="911"/>
        <item x="631"/>
        <item x="1220"/>
        <item x="638"/>
        <item x="799"/>
        <item x="281"/>
        <item x="872"/>
        <item x="342"/>
        <item x="122"/>
        <item x="1039"/>
        <item x="588"/>
        <item x="898"/>
        <item x="616"/>
        <item x="404"/>
        <item x="150"/>
        <item x="980"/>
        <item x="531"/>
        <item x="41"/>
        <item x="246"/>
        <item x="1327"/>
        <item x="1216"/>
        <item x="651"/>
        <item x="645"/>
        <item x="202"/>
        <item x="287"/>
        <item x="167"/>
        <item x="157"/>
        <item x="83"/>
        <item x="676"/>
        <item x="565"/>
        <item x="640"/>
        <item x="609"/>
        <item x="754"/>
        <item x="177"/>
        <item x="1016"/>
        <item x="1252"/>
        <item x="149"/>
        <item x="1136"/>
        <item x="897"/>
        <item x="532"/>
        <item x="1024"/>
        <item x="34"/>
        <item x="813"/>
        <item x="1174"/>
        <item x="175"/>
        <item x="374"/>
        <item x="187"/>
        <item x="627"/>
        <item x="1125"/>
        <item x="577"/>
        <item x="1011"/>
        <item x="678"/>
        <item x="47"/>
        <item x="228"/>
        <item x="647"/>
        <item x="384"/>
        <item x="372"/>
        <item x="145"/>
        <item x="837"/>
        <item x="236"/>
        <item x="156"/>
        <item x="1265"/>
        <item x="722"/>
        <item x="388"/>
        <item x="521"/>
        <item x="352"/>
        <item x="822"/>
        <item x="750"/>
        <item x="32"/>
        <item x="360"/>
        <item x="65"/>
        <item x="467"/>
        <item x="1155"/>
        <item x="221"/>
        <item x="256"/>
        <item x="348"/>
        <item x="810"/>
        <item x="1084"/>
        <item x="664"/>
        <item x="868"/>
        <item x="203"/>
        <item x="1202"/>
        <item x="1154"/>
        <item x="1277"/>
        <item x="574"/>
        <item x="1059"/>
        <item x="1270"/>
        <item x="685"/>
        <item x="459"/>
        <item x="657"/>
        <item x="328"/>
        <item x="278"/>
        <item x="971"/>
        <item x="815"/>
        <item x="1223"/>
        <item x="956"/>
        <item x="408"/>
        <item x="461"/>
        <item x="429"/>
        <item x="2"/>
        <item x="189"/>
        <item x="168"/>
        <item x="33"/>
        <item x="483"/>
        <item x="880"/>
        <item x="84"/>
        <item x="1035"/>
        <item x="97"/>
        <item x="266"/>
        <item x="962"/>
        <item x="995"/>
        <item x="1244"/>
        <item x="1042"/>
        <item x="213"/>
        <item x="494"/>
        <item x="633"/>
        <item x="96"/>
        <item x="462"/>
        <item x="921"/>
        <item x="14"/>
        <item x="158"/>
        <item x="608"/>
        <item x="1012"/>
        <item x="37"/>
        <item x="1093"/>
        <item x="839"/>
        <item x="641"/>
        <item x="728"/>
        <item x="1338"/>
        <item x="40"/>
        <item x="782"/>
        <item x="443"/>
        <item x="840"/>
        <item x="1321"/>
        <item x="589"/>
        <item x="405"/>
        <item x="124"/>
        <item x="916"/>
        <item x="561"/>
        <item x="1069"/>
        <item x="1000"/>
        <item x="1134"/>
        <item x="1215"/>
        <item x="146"/>
        <item x="289"/>
        <item x="734"/>
        <item x="1118"/>
        <item x="953"/>
        <item x="497"/>
        <item x="986"/>
        <item x="955"/>
        <item x="23"/>
        <item x="857"/>
        <item x="294"/>
        <item x="1295"/>
        <item x="858"/>
        <item x="173"/>
        <item x="1263"/>
        <item x="1240"/>
        <item x="723"/>
        <item x="692"/>
        <item x="49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17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Count of Attrition" fld="1" subtotal="count" baseField="0" baseItem="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5" type="count" evalOrder="-1" id="1" iMeasureFld="0">
      <autoFilter ref="A1">
        <filterColumn colId="0">
          <top10 val="10" filterVal="10"/>
        </filterColumn>
      </autoFilter>
    </filter>
    <filter fld="18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E04DF-50B1-46D5-B637-76C53AD01DEE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 since last promotion ">
  <location ref="G4:H19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showAll="0"/>
    <pivotField showAll="0"/>
    <pivotField showAll="0"/>
    <pivotField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axis="axisRow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showAll="0"/>
  </pivotFields>
  <rowFields count="1">
    <field x="3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3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formats count="2">
    <format dxfId="5">
      <pivotArea collapsedLevelsAreSubtotals="1" fieldPosition="0">
        <references count="1">
          <reference field="33" count="1">
            <x v="0"/>
          </reference>
        </references>
      </pivotArea>
    </format>
    <format dxfId="4">
      <pivotArea dataOnly="0" labelOnly="1" fieldPosition="0">
        <references count="1">
          <reference field="33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C2B43-F738-4D19-A6C6-8AF0C6F722D0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ork life Balance">
  <location ref="E12:F17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formats count="2">
    <format dxfId="6">
      <pivotArea collapsedLevelsAreSubtotals="1" fieldPosition="0">
        <references count="1">
          <reference field="30" count="1">
            <x v="2"/>
          </reference>
        </references>
      </pivotArea>
    </format>
    <format dxfId="7">
      <pivotArea dataOnly="0" labelOnly="1" fieldPosition="0">
        <references count="1">
          <reference field="30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2B891-1335-4F4C-AAAF-91098016DF56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nder">
  <location ref="A3:B6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68A7C-CC84-423D-B792-A4A6536096C6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Job Satisfaction ">
  <location ref="E3:F8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9E7C9-36F4-4EB9-98C2-FDA8142E9BD5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epartments/Job role">
  <location ref="C3:D17" firstHeaderRow="1" firstDataRow="1" firstDataCol="1" rowPageCount="1" colPageCount="1"/>
  <pivotFields count="35">
    <pivotField showAll="0"/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5"/>
  </rowFields>
  <rowItems count="14">
    <i>
      <x/>
    </i>
    <i r="1">
      <x v="1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AC5EF-DB17-4A05-A0F5-64436BEE5555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Age">
  <location ref="A9:B20" firstHeaderRow="1" firstDataRow="1" firstDataCol="1" rowPageCount="1" colPageCount="1"/>
  <pivotFields count="35">
    <pivotField axis="axisRow" showAll="0" measureFilter="1" sortType="descending">
      <items count="44">
        <item x="42"/>
        <item x="6"/>
        <item x="34"/>
        <item x="38"/>
        <item x="29"/>
        <item x="27"/>
        <item x="33"/>
        <item x="16"/>
        <item x="39"/>
        <item x="31"/>
        <item x="24"/>
        <item x="1"/>
        <item x="26"/>
        <item x="40"/>
        <item x="21"/>
        <item x="28"/>
        <item x="20"/>
        <item x="23"/>
        <item x="19"/>
        <item x="0"/>
        <item x="32"/>
        <item x="22"/>
        <item x="8"/>
        <item x="2"/>
        <item x="9"/>
        <item x="10"/>
        <item x="13"/>
        <item x="3"/>
        <item x="5"/>
        <item x="12"/>
        <item x="7"/>
        <item x="11"/>
        <item x="14"/>
        <item x="4"/>
        <item x="25"/>
        <item x="36"/>
        <item x="17"/>
        <item x="30"/>
        <item x="15"/>
        <item x="18"/>
        <item x="35"/>
        <item x="37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dataField="1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31"/>
    </i>
    <i>
      <x v="29"/>
    </i>
    <i>
      <x v="32"/>
    </i>
    <i>
      <x v="34"/>
    </i>
    <i>
      <x v="27"/>
    </i>
    <i>
      <x v="28"/>
    </i>
    <i>
      <x v="25"/>
    </i>
    <i>
      <x v="26"/>
    </i>
    <i>
      <x v="30"/>
    </i>
    <i>
      <x v="36"/>
    </i>
    <i t="grand">
      <x/>
    </i>
  </rowItems>
  <colItems count="1">
    <i/>
  </colItems>
  <pageFields count="1">
    <pageField fld="1" hier="-1"/>
  </pageFields>
  <dataFields count="1">
    <dataField name="Count of Attrition" fld="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ED44-CA8F-4AAC-B02C-C8325E2B670C}">
  <dimension ref="A1:AJ1471"/>
  <sheetViews>
    <sheetView tabSelected="1" topLeftCell="I1" workbookViewId="0">
      <selection activeCell="C6" sqref="C6"/>
    </sheetView>
  </sheetViews>
  <sheetFormatPr defaultRowHeight="15" x14ac:dyDescent="0.25"/>
  <cols>
    <col min="1" max="1" width="4.140625" bestFit="1" customWidth="1"/>
    <col min="2" max="2" width="8" bestFit="1" customWidth="1"/>
    <col min="3" max="3" width="16.42578125" bestFit="1" customWidth="1"/>
    <col min="4" max="4" width="9.28515625" bestFit="1" customWidth="1"/>
    <col min="5" max="5" width="23.140625" bestFit="1" customWidth="1"/>
    <col min="6" max="6" width="18.7109375" bestFit="1" customWidth="1"/>
    <col min="7" max="7" width="9.85546875" bestFit="1" customWidth="1"/>
    <col min="8" max="8" width="17.28515625" bestFit="1" customWidth="1"/>
    <col min="9" max="9" width="14.7109375" bestFit="1" customWidth="1"/>
    <col min="10" max="10" width="16.7109375" bestFit="1" customWidth="1"/>
    <col min="11" max="11" width="22.85546875" bestFit="1" customWidth="1"/>
    <col min="12" max="12" width="7.42578125" bestFit="1" customWidth="1"/>
    <col min="13" max="13" width="10.5703125" bestFit="1" customWidth="1"/>
    <col min="14" max="14" width="14.7109375" bestFit="1" customWidth="1"/>
    <col min="15" max="15" width="8.28515625" bestFit="1" customWidth="1"/>
    <col min="16" max="16" width="24.28515625" bestFit="1" customWidth="1"/>
    <col min="17" max="17" width="14.5703125" bestFit="1" customWidth="1"/>
    <col min="18" max="18" width="10" bestFit="1" customWidth="1"/>
    <col min="19" max="19" width="12.7109375" bestFit="1" customWidth="1"/>
    <col min="20" max="20" width="14.7109375" bestFit="1" customWidth="1"/>
    <col min="21" max="21" width="11.85546875" bestFit="1" customWidth="1"/>
    <col min="22" max="22" width="22.42578125" bestFit="1" customWidth="1"/>
    <col min="23" max="23" width="7" bestFit="1" customWidth="1"/>
    <col min="24" max="24" width="9.28515625" bestFit="1" customWidth="1"/>
    <col min="25" max="25" width="17" bestFit="1" customWidth="1"/>
    <col min="26" max="26" width="18.140625" bestFit="1" customWidth="1"/>
    <col min="27" max="27" width="23" bestFit="1" customWidth="1"/>
    <col min="28" max="28" width="14.42578125" bestFit="1" customWidth="1"/>
    <col min="29" max="29" width="16.140625" bestFit="1" customWidth="1"/>
    <col min="30" max="30" width="17.85546875" bestFit="1" customWidth="1"/>
    <col min="31" max="31" width="21.42578125" bestFit="1" customWidth="1"/>
    <col min="32" max="32" width="15.85546875" bestFit="1" customWidth="1"/>
    <col min="33" max="33" width="16" bestFit="1" customWidth="1"/>
    <col min="34" max="34" width="18.140625" bestFit="1" customWidth="1"/>
    <col min="35" max="35" width="23.85546875" bestFit="1" customWidth="1"/>
    <col min="36" max="36" width="21.710937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69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tr" cm="1">
        <f t="array" ref="R2:R1471">IF(Q2:Q1471&gt;2,"yes","no")</f>
        <v>yes</v>
      </c>
      <c r="S2" t="s">
        <v>41</v>
      </c>
      <c r="T2">
        <v>5993</v>
      </c>
      <c r="U2">
        <v>19479</v>
      </c>
      <c r="V2">
        <v>8</v>
      </c>
      <c r="W2" t="s">
        <v>42</v>
      </c>
      <c r="X2" t="s">
        <v>35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4</v>
      </c>
      <c r="AI2">
        <v>0</v>
      </c>
      <c r="AJ2">
        <v>5</v>
      </c>
    </row>
    <row r="3" spans="1:36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tr">
        <v>no</v>
      </c>
      <c r="S3" t="s">
        <v>48</v>
      </c>
      <c r="T3">
        <v>5130</v>
      </c>
      <c r="U3">
        <v>24907</v>
      </c>
      <c r="V3">
        <v>1</v>
      </c>
      <c r="W3" t="s">
        <v>42</v>
      </c>
      <c r="X3" t="s">
        <v>43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7</v>
      </c>
      <c r="AI3">
        <v>1</v>
      </c>
      <c r="AJ3">
        <v>7</v>
      </c>
    </row>
    <row r="4" spans="1:36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tr">
        <v>yes</v>
      </c>
      <c r="S4" t="s">
        <v>41</v>
      </c>
      <c r="T4">
        <v>2090</v>
      </c>
      <c r="U4">
        <v>2396</v>
      </c>
      <c r="V4">
        <v>6</v>
      </c>
      <c r="W4" t="s">
        <v>42</v>
      </c>
      <c r="X4" t="s">
        <v>35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0</v>
      </c>
      <c r="AI4">
        <v>0</v>
      </c>
      <c r="AJ4">
        <v>0</v>
      </c>
    </row>
    <row r="5" spans="1:36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tr">
        <v>yes</v>
      </c>
      <c r="S5" t="s">
        <v>48</v>
      </c>
      <c r="T5">
        <v>2909</v>
      </c>
      <c r="U5">
        <v>23159</v>
      </c>
      <c r="V5">
        <v>1</v>
      </c>
      <c r="W5" t="s">
        <v>42</v>
      </c>
      <c r="X5" t="s">
        <v>35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7</v>
      </c>
      <c r="AI5">
        <v>3</v>
      </c>
      <c r="AJ5">
        <v>0</v>
      </c>
    </row>
    <row r="6" spans="1:36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tr">
        <v>no</v>
      </c>
      <c r="S6" t="s">
        <v>48</v>
      </c>
      <c r="T6">
        <v>3468</v>
      </c>
      <c r="U6">
        <v>16632</v>
      </c>
      <c r="V6">
        <v>9</v>
      </c>
      <c r="W6" t="s">
        <v>42</v>
      </c>
      <c r="X6" t="s">
        <v>43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2</v>
      </c>
      <c r="AI6">
        <v>2</v>
      </c>
      <c r="AJ6">
        <v>2</v>
      </c>
    </row>
    <row r="7" spans="1:36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tr">
        <v>yes</v>
      </c>
      <c r="S7" t="s">
        <v>41</v>
      </c>
      <c r="T7">
        <v>3068</v>
      </c>
      <c r="U7">
        <v>11864</v>
      </c>
      <c r="V7">
        <v>0</v>
      </c>
      <c r="W7" t="s">
        <v>42</v>
      </c>
      <c r="X7" t="s">
        <v>43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7</v>
      </c>
      <c r="AI7">
        <v>3</v>
      </c>
      <c r="AJ7">
        <v>6</v>
      </c>
    </row>
    <row r="8" spans="1:36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tr">
        <v>no</v>
      </c>
      <c r="S8" t="s">
        <v>48</v>
      </c>
      <c r="T8">
        <v>2670</v>
      </c>
      <c r="U8">
        <v>9964</v>
      </c>
      <c r="V8">
        <v>4</v>
      </c>
      <c r="W8" t="s">
        <v>42</v>
      </c>
      <c r="X8" t="s">
        <v>35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0</v>
      </c>
      <c r="AI8">
        <v>0</v>
      </c>
      <c r="AJ8">
        <v>0</v>
      </c>
    </row>
    <row r="9" spans="1:36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tr">
        <v>yes</v>
      </c>
      <c r="S9" t="s">
        <v>52</v>
      </c>
      <c r="T9">
        <v>2693</v>
      </c>
      <c r="U9">
        <v>13335</v>
      </c>
      <c r="V9">
        <v>1</v>
      </c>
      <c r="W9" t="s">
        <v>42</v>
      </c>
      <c r="X9" t="s">
        <v>43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</row>
    <row r="10" spans="1:36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tr">
        <v>yes</v>
      </c>
      <c r="S10" t="s">
        <v>41</v>
      </c>
      <c r="T10">
        <v>9526</v>
      </c>
      <c r="U10">
        <v>8787</v>
      </c>
      <c r="V10">
        <v>0</v>
      </c>
      <c r="W10" t="s">
        <v>42</v>
      </c>
      <c r="X10" t="s">
        <v>43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7</v>
      </c>
      <c r="AI10">
        <v>1</v>
      </c>
      <c r="AJ10">
        <v>8</v>
      </c>
    </row>
    <row r="11" spans="1:36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tr">
        <v>yes</v>
      </c>
      <c r="S11" t="s">
        <v>48</v>
      </c>
      <c r="T11">
        <v>5237</v>
      </c>
      <c r="U11">
        <v>16577</v>
      </c>
      <c r="V11">
        <v>6</v>
      </c>
      <c r="W11" t="s">
        <v>42</v>
      </c>
      <c r="X11" t="s">
        <v>43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7</v>
      </c>
      <c r="AI11">
        <v>7</v>
      </c>
      <c r="AJ11">
        <v>7</v>
      </c>
    </row>
    <row r="12" spans="1:36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tr">
        <v>no</v>
      </c>
      <c r="S12" t="s">
        <v>48</v>
      </c>
      <c r="T12">
        <v>2426</v>
      </c>
      <c r="U12">
        <v>16479</v>
      </c>
      <c r="V12">
        <v>0</v>
      </c>
      <c r="W12" t="s">
        <v>42</v>
      </c>
      <c r="X12" t="s">
        <v>43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4</v>
      </c>
      <c r="AI12">
        <v>0</v>
      </c>
      <c r="AJ12">
        <v>3</v>
      </c>
    </row>
    <row r="13" spans="1:36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tr">
        <v>yes</v>
      </c>
      <c r="S13" t="s">
        <v>41</v>
      </c>
      <c r="T13">
        <v>4193</v>
      </c>
      <c r="U13">
        <v>12682</v>
      </c>
      <c r="V13">
        <v>0</v>
      </c>
      <c r="W13" t="s">
        <v>42</v>
      </c>
      <c r="X13" t="s">
        <v>35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5</v>
      </c>
      <c r="AI13">
        <v>0</v>
      </c>
      <c r="AJ13">
        <v>8</v>
      </c>
    </row>
    <row r="14" spans="1:36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tr">
        <v>yes</v>
      </c>
      <c r="S14" t="s">
        <v>52</v>
      </c>
      <c r="T14">
        <v>2911</v>
      </c>
      <c r="U14">
        <v>15170</v>
      </c>
      <c r="V14">
        <v>1</v>
      </c>
      <c r="W14" t="s">
        <v>42</v>
      </c>
      <c r="X14" t="s">
        <v>43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2</v>
      </c>
      <c r="AI14">
        <v>4</v>
      </c>
      <c r="AJ14">
        <v>3</v>
      </c>
    </row>
    <row r="15" spans="1:36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tr">
        <v>yes</v>
      </c>
      <c r="S15" t="s">
        <v>52</v>
      </c>
      <c r="T15">
        <v>2661</v>
      </c>
      <c r="U15">
        <v>8758</v>
      </c>
      <c r="V15">
        <v>0</v>
      </c>
      <c r="W15" t="s">
        <v>42</v>
      </c>
      <c r="X15" t="s">
        <v>43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2</v>
      </c>
      <c r="AI15">
        <v>1</v>
      </c>
      <c r="AJ15">
        <v>2</v>
      </c>
    </row>
    <row r="16" spans="1:36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tr">
        <v>yes</v>
      </c>
      <c r="S16" t="s">
        <v>41</v>
      </c>
      <c r="T16">
        <v>2028</v>
      </c>
      <c r="U16">
        <v>12947</v>
      </c>
      <c r="V16">
        <v>5</v>
      </c>
      <c r="W16" t="s">
        <v>42</v>
      </c>
      <c r="X16" t="s">
        <v>35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0</v>
      </c>
      <c r="AJ16">
        <v>3</v>
      </c>
    </row>
    <row r="17" spans="1:36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tr">
        <v>no</v>
      </c>
      <c r="S17" t="s">
        <v>52</v>
      </c>
      <c r="T17">
        <v>9980</v>
      </c>
      <c r="U17">
        <v>10195</v>
      </c>
      <c r="V17">
        <v>1</v>
      </c>
      <c r="W17" t="s">
        <v>42</v>
      </c>
      <c r="X17" t="s">
        <v>43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9</v>
      </c>
      <c r="AI17">
        <v>8</v>
      </c>
      <c r="AJ17">
        <v>8</v>
      </c>
    </row>
    <row r="18" spans="1:36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tr">
        <v>no</v>
      </c>
      <c r="S18" t="s">
        <v>52</v>
      </c>
      <c r="T18">
        <v>3298</v>
      </c>
      <c r="U18">
        <v>15053</v>
      </c>
      <c r="V18">
        <v>0</v>
      </c>
      <c r="W18" t="s">
        <v>42</v>
      </c>
      <c r="X18" t="s">
        <v>35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2</v>
      </c>
      <c r="AI18">
        <v>0</v>
      </c>
      <c r="AJ18">
        <v>5</v>
      </c>
    </row>
    <row r="19" spans="1:36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tr">
        <v>yes</v>
      </c>
      <c r="S19" t="s">
        <v>52</v>
      </c>
      <c r="T19">
        <v>2935</v>
      </c>
      <c r="U19">
        <v>7324</v>
      </c>
      <c r="V19">
        <v>1</v>
      </c>
      <c r="W19" t="s">
        <v>42</v>
      </c>
      <c r="X19" t="s">
        <v>35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</row>
    <row r="20" spans="1:36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tr">
        <v>yes</v>
      </c>
      <c r="S20" t="s">
        <v>48</v>
      </c>
      <c r="T20">
        <v>15427</v>
      </c>
      <c r="U20">
        <v>22021</v>
      </c>
      <c r="V20">
        <v>2</v>
      </c>
      <c r="W20" t="s">
        <v>42</v>
      </c>
      <c r="X20" t="s">
        <v>43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8</v>
      </c>
      <c r="AI20">
        <v>3</v>
      </c>
      <c r="AJ20">
        <v>7</v>
      </c>
    </row>
    <row r="21" spans="1:36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tr">
        <v>yes</v>
      </c>
      <c r="S21" t="s">
        <v>41</v>
      </c>
      <c r="T21">
        <v>3944</v>
      </c>
      <c r="U21">
        <v>4306</v>
      </c>
      <c r="V21">
        <v>5</v>
      </c>
      <c r="W21" t="s">
        <v>42</v>
      </c>
      <c r="X21" t="s">
        <v>35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2</v>
      </c>
      <c r="AI21">
        <v>1</v>
      </c>
      <c r="AJ21">
        <v>2</v>
      </c>
    </row>
    <row r="22" spans="1:36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tr">
        <v>yes</v>
      </c>
      <c r="S22" t="s">
        <v>52</v>
      </c>
      <c r="T22">
        <v>4011</v>
      </c>
      <c r="U22">
        <v>8232</v>
      </c>
      <c r="V22">
        <v>0</v>
      </c>
      <c r="W22" t="s">
        <v>42</v>
      </c>
      <c r="X22" t="s">
        <v>43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2</v>
      </c>
      <c r="AI22">
        <v>1</v>
      </c>
      <c r="AJ22">
        <v>3</v>
      </c>
    </row>
    <row r="23" spans="1:36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tr">
        <v>no</v>
      </c>
      <c r="S23" t="s">
        <v>41</v>
      </c>
      <c r="T23">
        <v>3407</v>
      </c>
      <c r="U23">
        <v>6986</v>
      </c>
      <c r="V23">
        <v>7</v>
      </c>
      <c r="W23" t="s">
        <v>42</v>
      </c>
      <c r="X23" t="s">
        <v>43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3</v>
      </c>
      <c r="AI23">
        <v>0</v>
      </c>
      <c r="AJ23">
        <v>3</v>
      </c>
    </row>
    <row r="24" spans="1:36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tr">
        <v>no</v>
      </c>
      <c r="S24" t="s">
        <v>41</v>
      </c>
      <c r="T24">
        <v>11994</v>
      </c>
      <c r="U24">
        <v>21293</v>
      </c>
      <c r="V24">
        <v>0</v>
      </c>
      <c r="W24" t="s">
        <v>42</v>
      </c>
      <c r="X24" t="s">
        <v>43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6</v>
      </c>
      <c r="AI24">
        <v>2</v>
      </c>
      <c r="AJ24">
        <v>11</v>
      </c>
    </row>
    <row r="25" spans="1:36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tr">
        <v>yes</v>
      </c>
      <c r="S25" t="s">
        <v>41</v>
      </c>
      <c r="T25">
        <v>1232</v>
      </c>
      <c r="U25">
        <v>19281</v>
      </c>
      <c r="V25">
        <v>1</v>
      </c>
      <c r="W25" t="s">
        <v>42</v>
      </c>
      <c r="X25" t="s">
        <v>43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</row>
    <row r="26" spans="1:36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tr">
        <v>no</v>
      </c>
      <c r="S26" t="s">
        <v>41</v>
      </c>
      <c r="T26">
        <v>2960</v>
      </c>
      <c r="U26">
        <v>17102</v>
      </c>
      <c r="V26">
        <v>2</v>
      </c>
      <c r="W26" t="s">
        <v>42</v>
      </c>
      <c r="X26" t="s">
        <v>43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2</v>
      </c>
      <c r="AI26">
        <v>1</v>
      </c>
      <c r="AJ26">
        <v>3</v>
      </c>
    </row>
    <row r="27" spans="1:36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tr">
        <v>yes</v>
      </c>
      <c r="S27" t="s">
        <v>52</v>
      </c>
      <c r="T27">
        <v>19094</v>
      </c>
      <c r="U27">
        <v>10735</v>
      </c>
      <c r="V27">
        <v>4</v>
      </c>
      <c r="W27" t="s">
        <v>42</v>
      </c>
      <c r="X27" t="s">
        <v>43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13</v>
      </c>
      <c r="AI27">
        <v>4</v>
      </c>
      <c r="AJ27">
        <v>8</v>
      </c>
    </row>
    <row r="28" spans="1:36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tr">
        <v>no</v>
      </c>
      <c r="S28" t="s">
        <v>76</v>
      </c>
      <c r="T28">
        <v>3919</v>
      </c>
      <c r="U28">
        <v>4681</v>
      </c>
      <c r="V28">
        <v>1</v>
      </c>
      <c r="W28" t="s">
        <v>42</v>
      </c>
      <c r="X28" t="s">
        <v>35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2</v>
      </c>
      <c r="AI28">
        <v>6</v>
      </c>
      <c r="AJ28">
        <v>7</v>
      </c>
    </row>
    <row r="29" spans="1:36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tr">
        <v>no</v>
      </c>
      <c r="S29" t="s">
        <v>48</v>
      </c>
      <c r="T29">
        <v>6825</v>
      </c>
      <c r="U29">
        <v>21173</v>
      </c>
      <c r="V29">
        <v>0</v>
      </c>
      <c r="W29" t="s">
        <v>42</v>
      </c>
      <c r="X29" t="s">
        <v>43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7</v>
      </c>
      <c r="AI29">
        <v>4</v>
      </c>
      <c r="AJ29">
        <v>2</v>
      </c>
    </row>
    <row r="30" spans="1:36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tr">
        <v>yes</v>
      </c>
      <c r="S30" t="s">
        <v>48</v>
      </c>
      <c r="T30">
        <v>10248</v>
      </c>
      <c r="U30">
        <v>2094</v>
      </c>
      <c r="V30">
        <v>3</v>
      </c>
      <c r="W30" t="s">
        <v>42</v>
      </c>
      <c r="X30" t="s">
        <v>43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6</v>
      </c>
      <c r="AI30">
        <v>5</v>
      </c>
      <c r="AJ30">
        <v>17</v>
      </c>
    </row>
    <row r="31" spans="1:36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tr">
        <v>no</v>
      </c>
      <c r="S31" t="s">
        <v>41</v>
      </c>
      <c r="T31">
        <v>18947</v>
      </c>
      <c r="U31">
        <v>22822</v>
      </c>
      <c r="V31">
        <v>3</v>
      </c>
      <c r="W31" t="s">
        <v>42</v>
      </c>
      <c r="X31" t="s">
        <v>43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1</v>
      </c>
    </row>
    <row r="32" spans="1:36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tr">
        <v>yes</v>
      </c>
      <c r="S32" t="s">
        <v>41</v>
      </c>
      <c r="T32">
        <v>2496</v>
      </c>
      <c r="U32">
        <v>6670</v>
      </c>
      <c r="V32">
        <v>4</v>
      </c>
      <c r="W32" t="s">
        <v>42</v>
      </c>
      <c r="X32" t="s">
        <v>43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1</v>
      </c>
      <c r="AI32">
        <v>0</v>
      </c>
      <c r="AJ32">
        <v>0</v>
      </c>
    </row>
    <row r="33" spans="1:36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tr">
        <v>yes</v>
      </c>
      <c r="S33" t="s">
        <v>48</v>
      </c>
      <c r="T33">
        <v>6465</v>
      </c>
      <c r="U33">
        <v>19121</v>
      </c>
      <c r="V33">
        <v>2</v>
      </c>
      <c r="W33" t="s">
        <v>42</v>
      </c>
      <c r="X33" t="s">
        <v>35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2</v>
      </c>
      <c r="AI33">
        <v>1</v>
      </c>
      <c r="AJ33">
        <v>3</v>
      </c>
    </row>
    <row r="34" spans="1:36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tr">
        <v>yes</v>
      </c>
      <c r="S34" t="s">
        <v>41</v>
      </c>
      <c r="T34">
        <v>2206</v>
      </c>
      <c r="U34">
        <v>16117</v>
      </c>
      <c r="V34">
        <v>1</v>
      </c>
      <c r="W34" t="s">
        <v>42</v>
      </c>
      <c r="X34" t="s">
        <v>43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1</v>
      </c>
      <c r="AJ34">
        <v>8</v>
      </c>
    </row>
    <row r="35" spans="1:36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tr">
        <v>yes</v>
      </c>
      <c r="S35" t="s">
        <v>48</v>
      </c>
      <c r="T35">
        <v>2086</v>
      </c>
      <c r="U35">
        <v>3335</v>
      </c>
      <c r="V35">
        <v>3</v>
      </c>
      <c r="W35" t="s">
        <v>42</v>
      </c>
      <c r="X35" t="s">
        <v>43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0</v>
      </c>
      <c r="AI35">
        <v>0</v>
      </c>
      <c r="AJ35">
        <v>0</v>
      </c>
    </row>
    <row r="36" spans="1:36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tr">
        <v>yes</v>
      </c>
      <c r="S36" t="s">
        <v>48</v>
      </c>
      <c r="T36">
        <v>2293</v>
      </c>
      <c r="U36">
        <v>3020</v>
      </c>
      <c r="V36">
        <v>2</v>
      </c>
      <c r="W36" t="s">
        <v>42</v>
      </c>
      <c r="X36" t="s">
        <v>35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0</v>
      </c>
      <c r="AI36">
        <v>2</v>
      </c>
      <c r="AJ36">
        <v>0</v>
      </c>
    </row>
    <row r="37" spans="1:36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tr">
        <v>yes</v>
      </c>
      <c r="S37" t="s">
        <v>52</v>
      </c>
      <c r="T37">
        <v>2645</v>
      </c>
      <c r="U37">
        <v>21923</v>
      </c>
      <c r="V37">
        <v>1</v>
      </c>
      <c r="W37" t="s">
        <v>42</v>
      </c>
      <c r="X37" t="s">
        <v>43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3</v>
      </c>
      <c r="AI37">
        <v>1</v>
      </c>
      <c r="AJ37">
        <v>4</v>
      </c>
    </row>
    <row r="38" spans="1:36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tr">
        <v>yes</v>
      </c>
      <c r="S38" t="s">
        <v>48</v>
      </c>
      <c r="T38">
        <v>2683</v>
      </c>
      <c r="U38">
        <v>3810</v>
      </c>
      <c r="V38">
        <v>1</v>
      </c>
      <c r="W38" t="s">
        <v>42</v>
      </c>
      <c r="X38" t="s">
        <v>35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2</v>
      </c>
      <c r="AI38">
        <v>0</v>
      </c>
      <c r="AJ38">
        <v>2</v>
      </c>
    </row>
    <row r="39" spans="1:36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tr">
        <v>yes</v>
      </c>
      <c r="S39" t="s">
        <v>48</v>
      </c>
      <c r="T39">
        <v>2014</v>
      </c>
      <c r="U39">
        <v>9687</v>
      </c>
      <c r="V39">
        <v>1</v>
      </c>
      <c r="W39" t="s">
        <v>42</v>
      </c>
      <c r="X39" t="s">
        <v>43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2</v>
      </c>
    </row>
    <row r="40" spans="1:36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tr">
        <v>no</v>
      </c>
      <c r="S40" t="s">
        <v>48</v>
      </c>
      <c r="T40">
        <v>3419</v>
      </c>
      <c r="U40">
        <v>13072</v>
      </c>
      <c r="V40">
        <v>9</v>
      </c>
      <c r="W40" t="s">
        <v>42</v>
      </c>
      <c r="X40" t="s">
        <v>35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1</v>
      </c>
      <c r="AI40">
        <v>0</v>
      </c>
      <c r="AJ40">
        <v>0</v>
      </c>
    </row>
    <row r="41" spans="1:36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tr">
        <v>no</v>
      </c>
      <c r="S41" t="s">
        <v>48</v>
      </c>
      <c r="T41">
        <v>5376</v>
      </c>
      <c r="U41">
        <v>3193</v>
      </c>
      <c r="V41">
        <v>2</v>
      </c>
      <c r="W41" t="s">
        <v>42</v>
      </c>
      <c r="X41" t="s">
        <v>43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3</v>
      </c>
      <c r="AI41">
        <v>1</v>
      </c>
      <c r="AJ41">
        <v>3</v>
      </c>
    </row>
    <row r="42" spans="1:36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tr">
        <v>yes</v>
      </c>
      <c r="S42" t="s">
        <v>52</v>
      </c>
      <c r="T42">
        <v>1951</v>
      </c>
      <c r="U42">
        <v>10910</v>
      </c>
      <c r="V42">
        <v>1</v>
      </c>
      <c r="W42" t="s">
        <v>42</v>
      </c>
      <c r="X42" t="s">
        <v>43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</row>
    <row r="43" spans="1:36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tr">
        <v>no</v>
      </c>
      <c r="S43" t="s">
        <v>52</v>
      </c>
      <c r="T43">
        <v>2341</v>
      </c>
      <c r="U43">
        <v>19715</v>
      </c>
      <c r="V43">
        <v>1</v>
      </c>
      <c r="W43" t="s">
        <v>42</v>
      </c>
      <c r="X43" t="s">
        <v>43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</row>
    <row r="44" spans="1:36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tr">
        <v>yes</v>
      </c>
      <c r="S44" t="s">
        <v>41</v>
      </c>
      <c r="T44">
        <v>2293</v>
      </c>
      <c r="U44">
        <v>10558</v>
      </c>
      <c r="V44">
        <v>1</v>
      </c>
      <c r="W44" t="s">
        <v>42</v>
      </c>
      <c r="X44" t="s">
        <v>43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1</v>
      </c>
    </row>
    <row r="45" spans="1:36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tr">
        <v>yes</v>
      </c>
      <c r="S45" t="s">
        <v>41</v>
      </c>
      <c r="T45">
        <v>8726</v>
      </c>
      <c r="U45">
        <v>2975</v>
      </c>
      <c r="V45">
        <v>1</v>
      </c>
      <c r="W45" t="s">
        <v>42</v>
      </c>
      <c r="X45" t="s">
        <v>43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8</v>
      </c>
      <c r="AI45">
        <v>1</v>
      </c>
      <c r="AJ45">
        <v>7</v>
      </c>
    </row>
    <row r="46" spans="1:36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tr">
        <v>yes</v>
      </c>
      <c r="S46" t="s">
        <v>41</v>
      </c>
      <c r="T46">
        <v>4011</v>
      </c>
      <c r="U46">
        <v>10781</v>
      </c>
      <c r="V46">
        <v>1</v>
      </c>
      <c r="W46" t="s">
        <v>42</v>
      </c>
      <c r="X46" t="s">
        <v>43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8</v>
      </c>
      <c r="AI46">
        <v>3</v>
      </c>
      <c r="AJ46">
        <v>7</v>
      </c>
    </row>
    <row r="47" spans="1:36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tr">
        <v>yes</v>
      </c>
      <c r="S47" t="s">
        <v>48</v>
      </c>
      <c r="T47">
        <v>19545</v>
      </c>
      <c r="U47">
        <v>16280</v>
      </c>
      <c r="V47">
        <v>1</v>
      </c>
      <c r="W47" t="s">
        <v>42</v>
      </c>
      <c r="X47" t="s">
        <v>43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15</v>
      </c>
      <c r="AI47">
        <v>15</v>
      </c>
      <c r="AJ47">
        <v>8</v>
      </c>
    </row>
    <row r="48" spans="1:36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tr">
        <v>yes</v>
      </c>
      <c r="S48" t="s">
        <v>41</v>
      </c>
      <c r="T48">
        <v>4568</v>
      </c>
      <c r="U48">
        <v>10034</v>
      </c>
      <c r="V48">
        <v>0</v>
      </c>
      <c r="W48" t="s">
        <v>42</v>
      </c>
      <c r="X48" t="s">
        <v>43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5</v>
      </c>
      <c r="AI48">
        <v>8</v>
      </c>
      <c r="AJ48">
        <v>7</v>
      </c>
    </row>
    <row r="49" spans="1:36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tr">
        <v>no</v>
      </c>
      <c r="S49" t="s">
        <v>48</v>
      </c>
      <c r="T49">
        <v>3022</v>
      </c>
      <c r="U49">
        <v>10227</v>
      </c>
      <c r="V49">
        <v>4</v>
      </c>
      <c r="W49" t="s">
        <v>42</v>
      </c>
      <c r="X49" t="s">
        <v>43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0</v>
      </c>
      <c r="AI49">
        <v>0</v>
      </c>
      <c r="AJ49">
        <v>0</v>
      </c>
    </row>
    <row r="50" spans="1:36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tr">
        <v>yes</v>
      </c>
      <c r="S50" t="s">
        <v>41</v>
      </c>
      <c r="T50">
        <v>5772</v>
      </c>
      <c r="U50">
        <v>20445</v>
      </c>
      <c r="V50">
        <v>4</v>
      </c>
      <c r="W50" t="s">
        <v>42</v>
      </c>
      <c r="X50" t="s">
        <v>35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6</v>
      </c>
      <c r="AI50">
        <v>0</v>
      </c>
      <c r="AJ50">
        <v>8</v>
      </c>
    </row>
    <row r="51" spans="1:36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tr">
        <v>yes</v>
      </c>
      <c r="S51" t="s">
        <v>48</v>
      </c>
      <c r="T51">
        <v>2269</v>
      </c>
      <c r="U51">
        <v>4892</v>
      </c>
      <c r="V51">
        <v>1</v>
      </c>
      <c r="W51" t="s">
        <v>42</v>
      </c>
      <c r="X51" t="s">
        <v>43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1</v>
      </c>
    </row>
    <row r="52" spans="1:36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tr">
        <v>yes</v>
      </c>
      <c r="S52" t="s">
        <v>41</v>
      </c>
      <c r="T52">
        <v>5381</v>
      </c>
      <c r="U52">
        <v>19294</v>
      </c>
      <c r="V52">
        <v>9</v>
      </c>
      <c r="W52" t="s">
        <v>42</v>
      </c>
      <c r="X52" t="s">
        <v>35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0</v>
      </c>
      <c r="AI52">
        <v>0</v>
      </c>
      <c r="AJ52">
        <v>0</v>
      </c>
    </row>
    <row r="53" spans="1:36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tr">
        <v>yes</v>
      </c>
      <c r="S53" t="s">
        <v>41</v>
      </c>
      <c r="T53">
        <v>3441</v>
      </c>
      <c r="U53">
        <v>11179</v>
      </c>
      <c r="V53">
        <v>1</v>
      </c>
      <c r="W53" t="s">
        <v>42</v>
      </c>
      <c r="X53" t="s">
        <v>35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2</v>
      </c>
      <c r="AI53">
        <v>2</v>
      </c>
      <c r="AJ53">
        <v>2</v>
      </c>
    </row>
    <row r="54" spans="1:36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tr">
        <v>no</v>
      </c>
      <c r="S54" t="s">
        <v>52</v>
      </c>
      <c r="T54">
        <v>5454</v>
      </c>
      <c r="U54">
        <v>4009</v>
      </c>
      <c r="V54">
        <v>5</v>
      </c>
      <c r="W54" t="s">
        <v>42</v>
      </c>
      <c r="X54" t="s">
        <v>35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3</v>
      </c>
      <c r="AI54">
        <v>1</v>
      </c>
      <c r="AJ54">
        <v>3</v>
      </c>
    </row>
    <row r="55" spans="1:36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tr">
        <v>no</v>
      </c>
      <c r="S55" t="s">
        <v>48</v>
      </c>
      <c r="T55">
        <v>9884</v>
      </c>
      <c r="U55">
        <v>8302</v>
      </c>
      <c r="V55">
        <v>2</v>
      </c>
      <c r="W55" t="s">
        <v>42</v>
      </c>
      <c r="X55" t="s">
        <v>35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0</v>
      </c>
      <c r="AI55">
        <v>2</v>
      </c>
      <c r="AJ55">
        <v>3</v>
      </c>
    </row>
    <row r="56" spans="1:36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tr">
        <v>yes</v>
      </c>
      <c r="S56" t="s">
        <v>48</v>
      </c>
      <c r="T56">
        <v>4157</v>
      </c>
      <c r="U56">
        <v>21436</v>
      </c>
      <c r="V56">
        <v>7</v>
      </c>
      <c r="W56" t="s">
        <v>42</v>
      </c>
      <c r="X56" t="s">
        <v>35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2</v>
      </c>
      <c r="AI56">
        <v>0</v>
      </c>
      <c r="AJ56">
        <v>0</v>
      </c>
    </row>
    <row r="57" spans="1:36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tr">
        <v>yes</v>
      </c>
      <c r="S57" t="s">
        <v>41</v>
      </c>
      <c r="T57">
        <v>13458</v>
      </c>
      <c r="U57">
        <v>15146</v>
      </c>
      <c r="V57">
        <v>1</v>
      </c>
      <c r="W57" t="s">
        <v>42</v>
      </c>
      <c r="X57" t="s">
        <v>35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14</v>
      </c>
      <c r="AI57">
        <v>8</v>
      </c>
      <c r="AJ57">
        <v>12</v>
      </c>
    </row>
    <row r="58" spans="1:36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tr">
        <v>no</v>
      </c>
      <c r="S58" t="s">
        <v>48</v>
      </c>
      <c r="T58">
        <v>9069</v>
      </c>
      <c r="U58">
        <v>11031</v>
      </c>
      <c r="V58">
        <v>1</v>
      </c>
      <c r="W58" t="s">
        <v>42</v>
      </c>
      <c r="X58" t="s">
        <v>43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8</v>
      </c>
      <c r="AI58">
        <v>1</v>
      </c>
      <c r="AJ58">
        <v>8</v>
      </c>
    </row>
    <row r="59" spans="1:36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tr">
        <v>no</v>
      </c>
      <c r="S59" t="s">
        <v>48</v>
      </c>
      <c r="T59">
        <v>4014</v>
      </c>
      <c r="U59">
        <v>16002</v>
      </c>
      <c r="V59">
        <v>3</v>
      </c>
      <c r="W59" t="s">
        <v>42</v>
      </c>
      <c r="X59" t="s">
        <v>35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</row>
    <row r="60" spans="1:36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tr">
        <v>yes</v>
      </c>
      <c r="S60" t="s">
        <v>52</v>
      </c>
      <c r="T60">
        <v>5915</v>
      </c>
      <c r="U60">
        <v>9528</v>
      </c>
      <c r="V60">
        <v>3</v>
      </c>
      <c r="W60" t="s">
        <v>42</v>
      </c>
      <c r="X60" t="s">
        <v>43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7</v>
      </c>
      <c r="AI60">
        <v>1</v>
      </c>
      <c r="AJ60">
        <v>7</v>
      </c>
    </row>
    <row r="61" spans="1:36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tr">
        <v>yes</v>
      </c>
      <c r="S61" t="s">
        <v>52</v>
      </c>
      <c r="T61">
        <v>5993</v>
      </c>
      <c r="U61">
        <v>2689</v>
      </c>
      <c r="V61">
        <v>1</v>
      </c>
      <c r="W61" t="s">
        <v>42</v>
      </c>
      <c r="X61" t="s">
        <v>43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5</v>
      </c>
      <c r="AI61">
        <v>0</v>
      </c>
      <c r="AJ61">
        <v>7</v>
      </c>
    </row>
    <row r="62" spans="1:36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tr">
        <v>yes</v>
      </c>
      <c r="S62" t="s">
        <v>48</v>
      </c>
      <c r="T62">
        <v>6162</v>
      </c>
      <c r="U62">
        <v>10877</v>
      </c>
      <c r="V62">
        <v>1</v>
      </c>
      <c r="W62" t="s">
        <v>42</v>
      </c>
      <c r="X62" t="s">
        <v>35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8</v>
      </c>
      <c r="AI62">
        <v>7</v>
      </c>
      <c r="AJ62">
        <v>8</v>
      </c>
    </row>
    <row r="63" spans="1:36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tr">
        <v>yes</v>
      </c>
      <c r="S63" t="s">
        <v>41</v>
      </c>
      <c r="T63">
        <v>2406</v>
      </c>
      <c r="U63">
        <v>5456</v>
      </c>
      <c r="V63">
        <v>1</v>
      </c>
      <c r="W63" t="s">
        <v>42</v>
      </c>
      <c r="X63" t="s">
        <v>43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3</v>
      </c>
      <c r="AI63">
        <v>9</v>
      </c>
      <c r="AJ63">
        <v>9</v>
      </c>
    </row>
    <row r="64" spans="1:36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tr">
        <v>yes</v>
      </c>
      <c r="S64" t="s">
        <v>52</v>
      </c>
      <c r="T64">
        <v>18740</v>
      </c>
      <c r="U64">
        <v>16701</v>
      </c>
      <c r="V64">
        <v>5</v>
      </c>
      <c r="W64" t="s">
        <v>42</v>
      </c>
      <c r="X64" t="s">
        <v>35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3</v>
      </c>
      <c r="AI64">
        <v>13</v>
      </c>
      <c r="AJ64">
        <v>8</v>
      </c>
    </row>
    <row r="65" spans="1:36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tr">
        <v>no</v>
      </c>
      <c r="S65" t="s">
        <v>41</v>
      </c>
      <c r="T65">
        <v>7637</v>
      </c>
      <c r="U65">
        <v>2354</v>
      </c>
      <c r="V65">
        <v>7</v>
      </c>
      <c r="W65" t="s">
        <v>42</v>
      </c>
      <c r="X65" t="s">
        <v>43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16</v>
      </c>
      <c r="AI65">
        <v>7</v>
      </c>
      <c r="AJ65">
        <v>9</v>
      </c>
    </row>
    <row r="66" spans="1:36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tr">
        <v>yes</v>
      </c>
      <c r="S66" t="s">
        <v>52</v>
      </c>
      <c r="T66">
        <v>10096</v>
      </c>
      <c r="U66">
        <v>8202</v>
      </c>
      <c r="V66">
        <v>1</v>
      </c>
      <c r="W66" t="s">
        <v>42</v>
      </c>
      <c r="X66" t="s">
        <v>43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14</v>
      </c>
      <c r="AI66">
        <v>12</v>
      </c>
      <c r="AJ66">
        <v>8</v>
      </c>
    </row>
    <row r="67" spans="1:36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tr">
        <v>yes</v>
      </c>
      <c r="S67" t="s">
        <v>52</v>
      </c>
      <c r="T67">
        <v>14756</v>
      </c>
      <c r="U67">
        <v>19730</v>
      </c>
      <c r="V67">
        <v>2</v>
      </c>
      <c r="W67" t="s">
        <v>42</v>
      </c>
      <c r="X67" t="s">
        <v>35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0</v>
      </c>
      <c r="AI67">
        <v>0</v>
      </c>
      <c r="AJ67">
        <v>2</v>
      </c>
    </row>
    <row r="68" spans="1:36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tr">
        <v>no</v>
      </c>
      <c r="S68" t="s">
        <v>41</v>
      </c>
      <c r="T68">
        <v>6499</v>
      </c>
      <c r="U68">
        <v>22656</v>
      </c>
      <c r="V68">
        <v>1</v>
      </c>
      <c r="W68" t="s">
        <v>42</v>
      </c>
      <c r="X68" t="s">
        <v>43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5</v>
      </c>
      <c r="AI68">
        <v>0</v>
      </c>
      <c r="AJ68">
        <v>3</v>
      </c>
    </row>
    <row r="69" spans="1:36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tr">
        <v>no</v>
      </c>
      <c r="S69" t="s">
        <v>52</v>
      </c>
      <c r="T69">
        <v>9724</v>
      </c>
      <c r="U69">
        <v>18787</v>
      </c>
      <c r="V69">
        <v>2</v>
      </c>
      <c r="W69" t="s">
        <v>42</v>
      </c>
      <c r="X69" t="s">
        <v>43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0</v>
      </c>
      <c r="AI69">
        <v>0</v>
      </c>
      <c r="AJ69">
        <v>0</v>
      </c>
    </row>
    <row r="70" spans="1:36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tr">
        <v>no</v>
      </c>
      <c r="S70" t="s">
        <v>48</v>
      </c>
      <c r="T70">
        <v>2194</v>
      </c>
      <c r="U70">
        <v>5868</v>
      </c>
      <c r="V70">
        <v>4</v>
      </c>
      <c r="W70" t="s">
        <v>42</v>
      </c>
      <c r="X70" t="s">
        <v>43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1</v>
      </c>
      <c r="AJ70">
        <v>2</v>
      </c>
    </row>
    <row r="71" spans="1:36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tr">
        <v>yes</v>
      </c>
      <c r="S71" t="s">
        <v>48</v>
      </c>
      <c r="T71">
        <v>3388</v>
      </c>
      <c r="U71">
        <v>21777</v>
      </c>
      <c r="V71">
        <v>0</v>
      </c>
      <c r="W71" t="s">
        <v>42</v>
      </c>
      <c r="X71" t="s">
        <v>35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0</v>
      </c>
      <c r="AI71">
        <v>0</v>
      </c>
      <c r="AJ71">
        <v>0</v>
      </c>
    </row>
    <row r="72" spans="1:36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tr">
        <v>yes</v>
      </c>
      <c r="S72" t="s">
        <v>41</v>
      </c>
      <c r="T72">
        <v>5473</v>
      </c>
      <c r="U72">
        <v>24668</v>
      </c>
      <c r="V72">
        <v>7</v>
      </c>
      <c r="W72" t="s">
        <v>42</v>
      </c>
      <c r="X72" t="s">
        <v>43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3</v>
      </c>
      <c r="AI72">
        <v>1</v>
      </c>
      <c r="AJ72">
        <v>3</v>
      </c>
    </row>
    <row r="73" spans="1:36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tr">
        <v>no</v>
      </c>
      <c r="S73" t="s">
        <v>48</v>
      </c>
      <c r="T73">
        <v>2703</v>
      </c>
      <c r="U73">
        <v>4956</v>
      </c>
      <c r="V73">
        <v>0</v>
      </c>
      <c r="W73" t="s">
        <v>42</v>
      </c>
      <c r="X73" t="s">
        <v>43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4</v>
      </c>
      <c r="AI73">
        <v>0</v>
      </c>
      <c r="AJ73">
        <v>4</v>
      </c>
    </row>
    <row r="74" spans="1:36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tr">
        <v>no</v>
      </c>
      <c r="S74" t="s">
        <v>41</v>
      </c>
      <c r="T74">
        <v>2501</v>
      </c>
      <c r="U74">
        <v>18775</v>
      </c>
      <c r="V74">
        <v>1</v>
      </c>
      <c r="W74" t="s">
        <v>42</v>
      </c>
      <c r="X74" t="s">
        <v>43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1</v>
      </c>
      <c r="AI74">
        <v>1</v>
      </c>
      <c r="AJ74">
        <v>0</v>
      </c>
    </row>
    <row r="75" spans="1:36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tr">
        <v>no</v>
      </c>
      <c r="S75" t="s">
        <v>48</v>
      </c>
      <c r="T75">
        <v>6220</v>
      </c>
      <c r="U75">
        <v>7346</v>
      </c>
      <c r="V75">
        <v>1</v>
      </c>
      <c r="W75" t="s">
        <v>42</v>
      </c>
      <c r="X75" t="s">
        <v>43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4</v>
      </c>
      <c r="AI75">
        <v>0</v>
      </c>
      <c r="AJ75">
        <v>9</v>
      </c>
    </row>
    <row r="76" spans="1:36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tr">
        <v>yes</v>
      </c>
      <c r="S76" t="s">
        <v>48</v>
      </c>
      <c r="T76">
        <v>3038</v>
      </c>
      <c r="U76">
        <v>22002</v>
      </c>
      <c r="V76">
        <v>3</v>
      </c>
      <c r="W76" t="s">
        <v>42</v>
      </c>
      <c r="X76" t="s">
        <v>43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0</v>
      </c>
      <c r="AI76">
        <v>0</v>
      </c>
      <c r="AJ76">
        <v>0</v>
      </c>
    </row>
    <row r="77" spans="1:36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tr">
        <v>yes</v>
      </c>
      <c r="S77" t="s">
        <v>41</v>
      </c>
      <c r="T77">
        <v>4424</v>
      </c>
      <c r="U77">
        <v>20682</v>
      </c>
      <c r="V77">
        <v>1</v>
      </c>
      <c r="W77" t="s">
        <v>42</v>
      </c>
      <c r="X77" t="s">
        <v>43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7</v>
      </c>
      <c r="AI77">
        <v>1</v>
      </c>
      <c r="AJ77">
        <v>8</v>
      </c>
    </row>
    <row r="78" spans="1:36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tr">
        <v>no</v>
      </c>
      <c r="S78" t="s">
        <v>41</v>
      </c>
      <c r="T78">
        <v>4312</v>
      </c>
      <c r="U78">
        <v>23016</v>
      </c>
      <c r="V78">
        <v>0</v>
      </c>
      <c r="W78" t="s">
        <v>42</v>
      </c>
      <c r="X78" t="s">
        <v>43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13</v>
      </c>
      <c r="AI78">
        <v>2</v>
      </c>
      <c r="AJ78">
        <v>8</v>
      </c>
    </row>
    <row r="79" spans="1:36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tr">
        <v>no</v>
      </c>
      <c r="S79" t="s">
        <v>48</v>
      </c>
      <c r="T79">
        <v>13245</v>
      </c>
      <c r="U79">
        <v>15067</v>
      </c>
      <c r="V79">
        <v>4</v>
      </c>
      <c r="W79" t="s">
        <v>42</v>
      </c>
      <c r="X79" t="s">
        <v>35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0</v>
      </c>
      <c r="AI79">
        <v>0</v>
      </c>
      <c r="AJ79">
        <v>0</v>
      </c>
    </row>
    <row r="80" spans="1:36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tr">
        <v>yes</v>
      </c>
      <c r="S80" t="s">
        <v>41</v>
      </c>
      <c r="T80">
        <v>13664</v>
      </c>
      <c r="U80">
        <v>25258</v>
      </c>
      <c r="V80">
        <v>4</v>
      </c>
      <c r="W80" t="s">
        <v>42</v>
      </c>
      <c r="X80" t="s">
        <v>43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2</v>
      </c>
      <c r="AI80">
        <v>0</v>
      </c>
      <c r="AJ80">
        <v>2</v>
      </c>
    </row>
    <row r="81" spans="1:36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tr">
        <v>no</v>
      </c>
      <c r="S81" t="s">
        <v>52</v>
      </c>
      <c r="T81">
        <v>5021</v>
      </c>
      <c r="U81">
        <v>10425</v>
      </c>
      <c r="V81">
        <v>8</v>
      </c>
      <c r="W81" t="s">
        <v>42</v>
      </c>
      <c r="X81" t="s">
        <v>35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2</v>
      </c>
      <c r="AI81">
        <v>0</v>
      </c>
      <c r="AJ81">
        <v>2</v>
      </c>
    </row>
    <row r="82" spans="1:36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tr">
        <v>yes</v>
      </c>
      <c r="S82" t="s">
        <v>48</v>
      </c>
      <c r="T82">
        <v>5126</v>
      </c>
      <c r="U82">
        <v>15998</v>
      </c>
      <c r="V82">
        <v>1</v>
      </c>
      <c r="W82" t="s">
        <v>42</v>
      </c>
      <c r="X82" t="s">
        <v>35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8</v>
      </c>
      <c r="AI82">
        <v>3</v>
      </c>
      <c r="AJ82">
        <v>0</v>
      </c>
    </row>
    <row r="83" spans="1:36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tr">
        <v>yes</v>
      </c>
      <c r="S83" t="s">
        <v>41</v>
      </c>
      <c r="T83">
        <v>2859</v>
      </c>
      <c r="U83">
        <v>26278</v>
      </c>
      <c r="V83">
        <v>1</v>
      </c>
      <c r="W83" t="s">
        <v>42</v>
      </c>
      <c r="X83" t="s">
        <v>43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4</v>
      </c>
      <c r="AI83">
        <v>0</v>
      </c>
      <c r="AJ83">
        <v>4</v>
      </c>
    </row>
    <row r="84" spans="1:36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tr">
        <v>yes</v>
      </c>
      <c r="S84" t="s">
        <v>48</v>
      </c>
      <c r="T84">
        <v>10239</v>
      </c>
      <c r="U84">
        <v>18092</v>
      </c>
      <c r="V84">
        <v>3</v>
      </c>
      <c r="W84" t="s">
        <v>42</v>
      </c>
      <c r="X84" t="s">
        <v>43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0</v>
      </c>
      <c r="AI84">
        <v>1</v>
      </c>
      <c r="AJ84">
        <v>0</v>
      </c>
    </row>
    <row r="85" spans="1:36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tr">
        <v>yes</v>
      </c>
      <c r="S85" t="s">
        <v>52</v>
      </c>
      <c r="T85">
        <v>5329</v>
      </c>
      <c r="U85">
        <v>15717</v>
      </c>
      <c r="V85">
        <v>7</v>
      </c>
      <c r="W85" t="s">
        <v>42</v>
      </c>
      <c r="X85" t="s">
        <v>35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11</v>
      </c>
      <c r="AI85">
        <v>1</v>
      </c>
      <c r="AJ85">
        <v>9</v>
      </c>
    </row>
    <row r="86" spans="1:36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tr">
        <v>no</v>
      </c>
      <c r="S86" t="s">
        <v>48</v>
      </c>
      <c r="T86">
        <v>4325</v>
      </c>
      <c r="U86">
        <v>17736</v>
      </c>
      <c r="V86">
        <v>1</v>
      </c>
      <c r="W86" t="s">
        <v>42</v>
      </c>
      <c r="X86" t="s">
        <v>43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2</v>
      </c>
      <c r="AI86">
        <v>1</v>
      </c>
      <c r="AJ86">
        <v>3</v>
      </c>
    </row>
    <row r="87" spans="1:36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tr">
        <v>yes</v>
      </c>
      <c r="S87" t="s">
        <v>41</v>
      </c>
      <c r="T87">
        <v>7260</v>
      </c>
      <c r="U87">
        <v>21698</v>
      </c>
      <c r="V87">
        <v>4</v>
      </c>
      <c r="W87" t="s">
        <v>42</v>
      </c>
      <c r="X87" t="s">
        <v>43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4</v>
      </c>
      <c r="AI87">
        <v>0</v>
      </c>
      <c r="AJ87">
        <v>2</v>
      </c>
    </row>
    <row r="88" spans="1:36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tr">
        <v>no</v>
      </c>
      <c r="S88" t="s">
        <v>52</v>
      </c>
      <c r="T88">
        <v>2322</v>
      </c>
      <c r="U88">
        <v>9518</v>
      </c>
      <c r="V88">
        <v>3</v>
      </c>
      <c r="W88" t="s">
        <v>42</v>
      </c>
      <c r="X88" t="s">
        <v>43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0</v>
      </c>
      <c r="AI88">
        <v>0</v>
      </c>
      <c r="AJ88">
        <v>0</v>
      </c>
    </row>
    <row r="89" spans="1:36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tr">
        <v>yes</v>
      </c>
      <c r="S89" t="s">
        <v>48</v>
      </c>
      <c r="T89">
        <v>2075</v>
      </c>
      <c r="U89">
        <v>18725</v>
      </c>
      <c r="V89">
        <v>3</v>
      </c>
      <c r="W89" t="s">
        <v>42</v>
      </c>
      <c r="X89" t="s">
        <v>43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2</v>
      </c>
      <c r="AI89">
        <v>0</v>
      </c>
      <c r="AJ89">
        <v>3</v>
      </c>
    </row>
    <row r="90" spans="1:36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tr">
        <v>yes</v>
      </c>
      <c r="S90" t="s">
        <v>48</v>
      </c>
      <c r="T90">
        <v>4152</v>
      </c>
      <c r="U90">
        <v>15830</v>
      </c>
      <c r="V90">
        <v>1</v>
      </c>
      <c r="W90" t="s">
        <v>42</v>
      </c>
      <c r="X90" t="s">
        <v>43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10</v>
      </c>
      <c r="AI90">
        <v>10</v>
      </c>
      <c r="AJ90">
        <v>8</v>
      </c>
    </row>
    <row r="91" spans="1:36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tr">
        <v>yes</v>
      </c>
      <c r="S91" t="s">
        <v>41</v>
      </c>
      <c r="T91">
        <v>9619</v>
      </c>
      <c r="U91">
        <v>13596</v>
      </c>
      <c r="V91">
        <v>1</v>
      </c>
      <c r="W91" t="s">
        <v>42</v>
      </c>
      <c r="X91" t="s">
        <v>43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8</v>
      </c>
      <c r="AI91">
        <v>4</v>
      </c>
      <c r="AJ91">
        <v>7</v>
      </c>
    </row>
    <row r="92" spans="1:36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tr">
        <v>no</v>
      </c>
      <c r="S92" t="s">
        <v>48</v>
      </c>
      <c r="T92">
        <v>13503</v>
      </c>
      <c r="U92">
        <v>14115</v>
      </c>
      <c r="V92">
        <v>1</v>
      </c>
      <c r="W92" t="s">
        <v>42</v>
      </c>
      <c r="X92" t="s">
        <v>43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3</v>
      </c>
      <c r="AI92">
        <v>11</v>
      </c>
      <c r="AJ92">
        <v>11</v>
      </c>
    </row>
    <row r="93" spans="1:36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tr">
        <v>yes</v>
      </c>
      <c r="S93" t="s">
        <v>41</v>
      </c>
      <c r="T93">
        <v>5441</v>
      </c>
      <c r="U93">
        <v>8423</v>
      </c>
      <c r="V93">
        <v>0</v>
      </c>
      <c r="W93" t="s">
        <v>42</v>
      </c>
      <c r="X93" t="s">
        <v>35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7</v>
      </c>
      <c r="AI93">
        <v>1</v>
      </c>
      <c r="AJ93">
        <v>0</v>
      </c>
    </row>
    <row r="94" spans="1:36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tr">
        <v>no</v>
      </c>
      <c r="S94" t="s">
        <v>52</v>
      </c>
      <c r="T94">
        <v>5209</v>
      </c>
      <c r="U94">
        <v>19760</v>
      </c>
      <c r="V94">
        <v>1</v>
      </c>
      <c r="W94" t="s">
        <v>42</v>
      </c>
      <c r="X94" t="s">
        <v>35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8</v>
      </c>
      <c r="AI94">
        <v>2</v>
      </c>
      <c r="AJ94">
        <v>7</v>
      </c>
    </row>
    <row r="95" spans="1:36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tr">
        <v>no</v>
      </c>
      <c r="S95" t="s">
        <v>48</v>
      </c>
      <c r="T95">
        <v>10673</v>
      </c>
      <c r="U95">
        <v>3142</v>
      </c>
      <c r="V95">
        <v>2</v>
      </c>
      <c r="W95" t="s">
        <v>42</v>
      </c>
      <c r="X95" t="s">
        <v>35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9</v>
      </c>
      <c r="AI95">
        <v>9</v>
      </c>
      <c r="AJ95">
        <v>5</v>
      </c>
    </row>
    <row r="96" spans="1:36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tr">
        <v>yes</v>
      </c>
      <c r="S96" t="s">
        <v>41</v>
      </c>
      <c r="T96">
        <v>5010</v>
      </c>
      <c r="U96">
        <v>24301</v>
      </c>
      <c r="V96">
        <v>1</v>
      </c>
      <c r="W96" t="s">
        <v>42</v>
      </c>
      <c r="X96" t="s">
        <v>43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8</v>
      </c>
      <c r="AI96">
        <v>5</v>
      </c>
      <c r="AJ96">
        <v>7</v>
      </c>
    </row>
    <row r="97" spans="1:36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tr">
        <v>yes</v>
      </c>
      <c r="S97" t="s">
        <v>48</v>
      </c>
      <c r="T97">
        <v>13549</v>
      </c>
      <c r="U97">
        <v>24001</v>
      </c>
      <c r="V97">
        <v>9</v>
      </c>
      <c r="W97" t="s">
        <v>42</v>
      </c>
      <c r="X97" t="s">
        <v>43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3</v>
      </c>
      <c r="AI97">
        <v>0</v>
      </c>
      <c r="AJ97">
        <v>3</v>
      </c>
    </row>
    <row r="98" spans="1:36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tr">
        <v>yes</v>
      </c>
      <c r="S98" t="s">
        <v>48</v>
      </c>
      <c r="T98">
        <v>4999</v>
      </c>
      <c r="U98">
        <v>17519</v>
      </c>
      <c r="V98">
        <v>0</v>
      </c>
      <c r="W98" t="s">
        <v>42</v>
      </c>
      <c r="X98" t="s">
        <v>43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2</v>
      </c>
      <c r="AI98">
        <v>0</v>
      </c>
      <c r="AJ98">
        <v>2</v>
      </c>
    </row>
    <row r="99" spans="1:36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tr">
        <v>yes</v>
      </c>
      <c r="S99" t="s">
        <v>48</v>
      </c>
      <c r="T99">
        <v>4221</v>
      </c>
      <c r="U99">
        <v>8863</v>
      </c>
      <c r="V99">
        <v>1</v>
      </c>
      <c r="W99" t="s">
        <v>42</v>
      </c>
      <c r="X99" t="s">
        <v>43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4</v>
      </c>
      <c r="AI99">
        <v>0</v>
      </c>
      <c r="AJ99">
        <v>4</v>
      </c>
    </row>
    <row r="100" spans="1:36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tr">
        <v>yes</v>
      </c>
      <c r="S100" t="s">
        <v>41</v>
      </c>
      <c r="T100">
        <v>13872</v>
      </c>
      <c r="U100">
        <v>24409</v>
      </c>
      <c r="V100">
        <v>0</v>
      </c>
      <c r="W100" t="s">
        <v>42</v>
      </c>
      <c r="X100" t="s">
        <v>43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10</v>
      </c>
      <c r="AI100">
        <v>1</v>
      </c>
      <c r="AJ100">
        <v>8</v>
      </c>
    </row>
    <row r="101" spans="1:36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tr">
        <v>no</v>
      </c>
      <c r="S101" t="s">
        <v>48</v>
      </c>
      <c r="T101">
        <v>2042</v>
      </c>
      <c r="U101">
        <v>25043</v>
      </c>
      <c r="V101">
        <v>4</v>
      </c>
      <c r="W101" t="s">
        <v>42</v>
      </c>
      <c r="X101" t="s">
        <v>43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2</v>
      </c>
      <c r="AI101">
        <v>1</v>
      </c>
      <c r="AJ101">
        <v>2</v>
      </c>
    </row>
    <row r="102" spans="1:36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tr">
        <v>no</v>
      </c>
      <c r="S102" t="s">
        <v>52</v>
      </c>
      <c r="T102">
        <v>2073</v>
      </c>
      <c r="U102">
        <v>23648</v>
      </c>
      <c r="V102">
        <v>4</v>
      </c>
      <c r="W102" t="s">
        <v>42</v>
      </c>
      <c r="X102" t="s">
        <v>35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2</v>
      </c>
      <c r="AI102">
        <v>0</v>
      </c>
      <c r="AJ102">
        <v>2</v>
      </c>
    </row>
    <row r="103" spans="1:36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tr">
        <v>no</v>
      </c>
      <c r="S103" t="s">
        <v>41</v>
      </c>
      <c r="T103">
        <v>2956</v>
      </c>
      <c r="U103">
        <v>15178</v>
      </c>
      <c r="V103">
        <v>1</v>
      </c>
      <c r="W103" t="s">
        <v>42</v>
      </c>
      <c r="X103" t="s">
        <v>43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</row>
    <row r="104" spans="1:36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tr">
        <v>yes</v>
      </c>
      <c r="S104" t="s">
        <v>41</v>
      </c>
      <c r="T104">
        <v>2926</v>
      </c>
      <c r="U104">
        <v>19783</v>
      </c>
      <c r="V104">
        <v>1</v>
      </c>
      <c r="W104" t="s">
        <v>42</v>
      </c>
      <c r="X104" t="s">
        <v>35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1</v>
      </c>
      <c r="AJ104">
        <v>0</v>
      </c>
    </row>
    <row r="105" spans="1:36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tr">
        <v>yes</v>
      </c>
      <c r="S105" t="s">
        <v>41</v>
      </c>
      <c r="T105">
        <v>4809</v>
      </c>
      <c r="U105">
        <v>12482</v>
      </c>
      <c r="V105">
        <v>1</v>
      </c>
      <c r="W105" t="s">
        <v>42</v>
      </c>
      <c r="X105" t="s">
        <v>43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13</v>
      </c>
      <c r="AI105">
        <v>2</v>
      </c>
      <c r="AJ105">
        <v>10</v>
      </c>
    </row>
    <row r="106" spans="1:36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tr">
        <v>yes</v>
      </c>
      <c r="S106" t="s">
        <v>52</v>
      </c>
      <c r="T106">
        <v>5163</v>
      </c>
      <c r="U106">
        <v>15850</v>
      </c>
      <c r="V106">
        <v>5</v>
      </c>
      <c r="W106" t="s">
        <v>42</v>
      </c>
      <c r="X106" t="s">
        <v>43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0</v>
      </c>
      <c r="AI106">
        <v>0</v>
      </c>
      <c r="AJ106">
        <v>0</v>
      </c>
    </row>
    <row r="107" spans="1:36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tr">
        <v>yes</v>
      </c>
      <c r="S107" t="s">
        <v>48</v>
      </c>
      <c r="T107">
        <v>18844</v>
      </c>
      <c r="U107">
        <v>21922</v>
      </c>
      <c r="V107">
        <v>9</v>
      </c>
      <c r="W107" t="s">
        <v>42</v>
      </c>
      <c r="X107" t="s">
        <v>43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</v>
      </c>
      <c r="AI107">
        <v>2</v>
      </c>
      <c r="AJ107">
        <v>2</v>
      </c>
    </row>
    <row r="108" spans="1:36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tr">
        <v>no</v>
      </c>
      <c r="S108" t="s">
        <v>48</v>
      </c>
      <c r="T108">
        <v>18172</v>
      </c>
      <c r="U108">
        <v>9755</v>
      </c>
      <c r="V108">
        <v>3</v>
      </c>
      <c r="W108" t="s">
        <v>42</v>
      </c>
      <c r="X108" t="s">
        <v>35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3</v>
      </c>
      <c r="AI108">
        <v>0</v>
      </c>
      <c r="AJ108">
        <v>7</v>
      </c>
    </row>
    <row r="109" spans="1:36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tr">
        <v>yes</v>
      </c>
      <c r="S109" t="s">
        <v>41</v>
      </c>
      <c r="T109">
        <v>5744</v>
      </c>
      <c r="U109">
        <v>26959</v>
      </c>
      <c r="V109">
        <v>1</v>
      </c>
      <c r="W109" t="s">
        <v>42</v>
      </c>
      <c r="X109" t="s">
        <v>35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4</v>
      </c>
      <c r="AI109">
        <v>0</v>
      </c>
      <c r="AJ109">
        <v>3</v>
      </c>
    </row>
    <row r="110" spans="1:36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tr">
        <v>yes</v>
      </c>
      <c r="S110" t="s">
        <v>48</v>
      </c>
      <c r="T110">
        <v>2889</v>
      </c>
      <c r="U110">
        <v>26897</v>
      </c>
      <c r="V110">
        <v>1</v>
      </c>
      <c r="W110" t="s">
        <v>42</v>
      </c>
      <c r="X110" t="s">
        <v>43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2</v>
      </c>
      <c r="AI110">
        <v>2</v>
      </c>
      <c r="AJ110">
        <v>1</v>
      </c>
    </row>
    <row r="111" spans="1:36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tr">
        <v>yes</v>
      </c>
      <c r="S111" t="s">
        <v>41</v>
      </c>
      <c r="T111">
        <v>2871</v>
      </c>
      <c r="U111">
        <v>23785</v>
      </c>
      <c r="V111">
        <v>1</v>
      </c>
      <c r="W111" t="s">
        <v>42</v>
      </c>
      <c r="X111" t="s">
        <v>43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0</v>
      </c>
      <c r="AI111">
        <v>0</v>
      </c>
      <c r="AJ111">
        <v>0</v>
      </c>
    </row>
    <row r="112" spans="1:36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tr">
        <v>no</v>
      </c>
      <c r="S112" t="s">
        <v>41</v>
      </c>
      <c r="T112">
        <v>7484</v>
      </c>
      <c r="U112">
        <v>25796</v>
      </c>
      <c r="V112">
        <v>3</v>
      </c>
      <c r="W112" t="s">
        <v>42</v>
      </c>
      <c r="X112" t="s">
        <v>43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12</v>
      </c>
      <c r="AI112">
        <v>12</v>
      </c>
      <c r="AJ112">
        <v>8</v>
      </c>
    </row>
    <row r="113" spans="1:36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tr">
        <v>yes</v>
      </c>
      <c r="S113" t="s">
        <v>41</v>
      </c>
      <c r="T113">
        <v>6074</v>
      </c>
      <c r="U113">
        <v>22887</v>
      </c>
      <c r="V113">
        <v>1</v>
      </c>
      <c r="W113" t="s">
        <v>42</v>
      </c>
      <c r="X113" t="s">
        <v>35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7</v>
      </c>
      <c r="AI113">
        <v>0</v>
      </c>
      <c r="AJ113">
        <v>6</v>
      </c>
    </row>
    <row r="114" spans="1:36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tr">
        <v>yes</v>
      </c>
      <c r="S114" t="s">
        <v>41</v>
      </c>
      <c r="T114">
        <v>17328</v>
      </c>
      <c r="U114">
        <v>13871</v>
      </c>
      <c r="V114">
        <v>2</v>
      </c>
      <c r="W114" t="s">
        <v>42</v>
      </c>
      <c r="X114" t="s">
        <v>35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3</v>
      </c>
      <c r="AI114">
        <v>4</v>
      </c>
      <c r="AJ114">
        <v>4</v>
      </c>
    </row>
    <row r="115" spans="1:36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tr">
        <v>yes</v>
      </c>
      <c r="S115" t="s">
        <v>48</v>
      </c>
      <c r="T115">
        <v>2774</v>
      </c>
      <c r="U115">
        <v>13257</v>
      </c>
      <c r="V115">
        <v>0</v>
      </c>
      <c r="W115" t="s">
        <v>42</v>
      </c>
      <c r="X115" t="s">
        <v>43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3</v>
      </c>
      <c r="AI115">
        <v>1</v>
      </c>
      <c r="AJ115">
        <v>2</v>
      </c>
    </row>
    <row r="116" spans="1:36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tr">
        <v>no</v>
      </c>
      <c r="S116" t="s">
        <v>52</v>
      </c>
      <c r="T116">
        <v>4505</v>
      </c>
      <c r="U116">
        <v>15000</v>
      </c>
      <c r="V116">
        <v>6</v>
      </c>
      <c r="W116" t="s">
        <v>42</v>
      </c>
      <c r="X116" t="s">
        <v>43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0</v>
      </c>
      <c r="AI116">
        <v>0</v>
      </c>
      <c r="AJ116">
        <v>0</v>
      </c>
    </row>
    <row r="117" spans="1:36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tr">
        <v>yes</v>
      </c>
      <c r="S117" t="s">
        <v>41</v>
      </c>
      <c r="T117">
        <v>7428</v>
      </c>
      <c r="U117">
        <v>14506</v>
      </c>
      <c r="V117">
        <v>2</v>
      </c>
      <c r="W117" t="s">
        <v>42</v>
      </c>
      <c r="X117" t="s">
        <v>43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3</v>
      </c>
      <c r="AI117">
        <v>1</v>
      </c>
      <c r="AJ117">
        <v>3</v>
      </c>
    </row>
    <row r="118" spans="1:36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tr">
        <v>no</v>
      </c>
      <c r="S118" t="s">
        <v>41</v>
      </c>
      <c r="T118">
        <v>11631</v>
      </c>
      <c r="U118">
        <v>5615</v>
      </c>
      <c r="V118">
        <v>2</v>
      </c>
      <c r="W118" t="s">
        <v>42</v>
      </c>
      <c r="X118" t="s">
        <v>43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10</v>
      </c>
      <c r="AI118">
        <v>5</v>
      </c>
      <c r="AJ118">
        <v>8</v>
      </c>
    </row>
    <row r="119" spans="1:36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tr">
        <v>yes</v>
      </c>
      <c r="S119" t="s">
        <v>48</v>
      </c>
      <c r="T119">
        <v>9738</v>
      </c>
      <c r="U119">
        <v>22952</v>
      </c>
      <c r="V119">
        <v>0</v>
      </c>
      <c r="W119" t="s">
        <v>42</v>
      </c>
      <c r="X119" t="s">
        <v>43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7</v>
      </c>
      <c r="AI119">
        <v>2</v>
      </c>
      <c r="AJ119">
        <v>8</v>
      </c>
    </row>
    <row r="120" spans="1:36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tr">
        <v>yes</v>
      </c>
      <c r="S120" t="s">
        <v>52</v>
      </c>
      <c r="T120">
        <v>2835</v>
      </c>
      <c r="U120">
        <v>2561</v>
      </c>
      <c r="V120">
        <v>5</v>
      </c>
      <c r="W120" t="s">
        <v>42</v>
      </c>
      <c r="X120" t="s">
        <v>43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0</v>
      </c>
      <c r="AI120">
        <v>0</v>
      </c>
      <c r="AJ120">
        <v>0</v>
      </c>
    </row>
    <row r="121" spans="1:36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tr">
        <v>yes</v>
      </c>
      <c r="S121" t="s">
        <v>48</v>
      </c>
      <c r="T121">
        <v>16959</v>
      </c>
      <c r="U121">
        <v>19494</v>
      </c>
      <c r="V121">
        <v>1</v>
      </c>
      <c r="W121" t="s">
        <v>42</v>
      </c>
      <c r="X121" t="s">
        <v>35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12</v>
      </c>
      <c r="AI121">
        <v>4</v>
      </c>
      <c r="AJ121">
        <v>12</v>
      </c>
    </row>
    <row r="122" spans="1:36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tr">
        <v>yes</v>
      </c>
      <c r="S122" t="s">
        <v>52</v>
      </c>
      <c r="T122">
        <v>2613</v>
      </c>
      <c r="U122">
        <v>22310</v>
      </c>
      <c r="V122">
        <v>1</v>
      </c>
      <c r="W122" t="s">
        <v>42</v>
      </c>
      <c r="X122" t="s">
        <v>43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7</v>
      </c>
      <c r="AI122">
        <v>0</v>
      </c>
      <c r="AJ122">
        <v>9</v>
      </c>
    </row>
    <row r="123" spans="1:36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tr">
        <v>no</v>
      </c>
      <c r="S123" t="s">
        <v>48</v>
      </c>
      <c r="T123">
        <v>6146</v>
      </c>
      <c r="U123">
        <v>15480</v>
      </c>
      <c r="V123">
        <v>0</v>
      </c>
      <c r="W123" t="s">
        <v>42</v>
      </c>
      <c r="X123" t="s">
        <v>43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7</v>
      </c>
      <c r="AI123">
        <v>0</v>
      </c>
      <c r="AJ123">
        <v>7</v>
      </c>
    </row>
    <row r="124" spans="1:36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tr">
        <v>no</v>
      </c>
      <c r="S124" t="s">
        <v>48</v>
      </c>
      <c r="T124">
        <v>4963</v>
      </c>
      <c r="U124">
        <v>4510</v>
      </c>
      <c r="V124">
        <v>9</v>
      </c>
      <c r="W124" t="s">
        <v>42</v>
      </c>
      <c r="X124" t="s">
        <v>35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4</v>
      </c>
      <c r="AI124">
        <v>4</v>
      </c>
      <c r="AJ124">
        <v>3</v>
      </c>
    </row>
    <row r="125" spans="1:36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tr">
        <v>yes</v>
      </c>
      <c r="S125" t="s">
        <v>41</v>
      </c>
      <c r="T125">
        <v>19537</v>
      </c>
      <c r="U125">
        <v>6462</v>
      </c>
      <c r="V125">
        <v>7</v>
      </c>
      <c r="W125" t="s">
        <v>42</v>
      </c>
      <c r="X125" t="s">
        <v>43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18</v>
      </c>
      <c r="AI125">
        <v>15</v>
      </c>
      <c r="AJ125">
        <v>15</v>
      </c>
    </row>
    <row r="126" spans="1:36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tr">
        <v>yes</v>
      </c>
      <c r="S126" t="s">
        <v>48</v>
      </c>
      <c r="T126">
        <v>6172</v>
      </c>
      <c r="U126">
        <v>20739</v>
      </c>
      <c r="V126">
        <v>4</v>
      </c>
      <c r="W126" t="s">
        <v>42</v>
      </c>
      <c r="X126" t="s">
        <v>35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7</v>
      </c>
      <c r="AI126">
        <v>7</v>
      </c>
      <c r="AJ126">
        <v>7</v>
      </c>
    </row>
    <row r="127" spans="1:36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tr">
        <v>no</v>
      </c>
      <c r="S127" t="s">
        <v>48</v>
      </c>
      <c r="T127">
        <v>2368</v>
      </c>
      <c r="U127">
        <v>23300</v>
      </c>
      <c r="V127">
        <v>1</v>
      </c>
      <c r="W127" t="s">
        <v>42</v>
      </c>
      <c r="X127" t="s">
        <v>43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4</v>
      </c>
      <c r="AI127">
        <v>4</v>
      </c>
      <c r="AJ127">
        <v>3</v>
      </c>
    </row>
    <row r="128" spans="1:36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tr">
        <v>yes</v>
      </c>
      <c r="S128" t="s">
        <v>48</v>
      </c>
      <c r="T128">
        <v>10312</v>
      </c>
      <c r="U128">
        <v>3465</v>
      </c>
      <c r="V128">
        <v>1</v>
      </c>
      <c r="W128" t="s">
        <v>42</v>
      </c>
      <c r="X128" t="s">
        <v>43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10</v>
      </c>
      <c r="AI128">
        <v>15</v>
      </c>
      <c r="AJ128">
        <v>6</v>
      </c>
    </row>
    <row r="129" spans="1:36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tr">
        <v>yes</v>
      </c>
      <c r="S129" t="s">
        <v>41</v>
      </c>
      <c r="T129">
        <v>1675</v>
      </c>
      <c r="U129">
        <v>26820</v>
      </c>
      <c r="V129">
        <v>1</v>
      </c>
      <c r="W129" t="s">
        <v>42</v>
      </c>
      <c r="X129" t="s">
        <v>35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</row>
    <row r="130" spans="1:36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tr">
        <v>yes</v>
      </c>
      <c r="S130" t="s">
        <v>48</v>
      </c>
      <c r="T130">
        <v>2523</v>
      </c>
      <c r="U130">
        <v>19299</v>
      </c>
      <c r="V130">
        <v>0</v>
      </c>
      <c r="W130" t="s">
        <v>42</v>
      </c>
      <c r="X130" t="s">
        <v>43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2</v>
      </c>
      <c r="AJ130">
        <v>1</v>
      </c>
    </row>
    <row r="131" spans="1:36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tr">
        <v>no</v>
      </c>
      <c r="S131" t="s">
        <v>48</v>
      </c>
      <c r="T131">
        <v>6567</v>
      </c>
      <c r="U131">
        <v>5549</v>
      </c>
      <c r="V131">
        <v>1</v>
      </c>
      <c r="W131" t="s">
        <v>42</v>
      </c>
      <c r="X131" t="s">
        <v>43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11</v>
      </c>
      <c r="AI131">
        <v>5</v>
      </c>
      <c r="AJ131">
        <v>11</v>
      </c>
    </row>
    <row r="132" spans="1:36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tr">
        <v>yes</v>
      </c>
      <c r="S132" t="s">
        <v>41</v>
      </c>
      <c r="T132">
        <v>4739</v>
      </c>
      <c r="U132">
        <v>16090</v>
      </c>
      <c r="V132">
        <v>4</v>
      </c>
      <c r="W132" t="s">
        <v>42</v>
      </c>
      <c r="X132" t="s">
        <v>43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2</v>
      </c>
      <c r="AI132">
        <v>1</v>
      </c>
      <c r="AJ132">
        <v>2</v>
      </c>
    </row>
    <row r="133" spans="1:36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tr">
        <v>yes</v>
      </c>
      <c r="S133" t="s">
        <v>41</v>
      </c>
      <c r="T133">
        <v>9208</v>
      </c>
      <c r="U133">
        <v>6645</v>
      </c>
      <c r="V133">
        <v>4</v>
      </c>
      <c r="W133" t="s">
        <v>42</v>
      </c>
      <c r="X133" t="s">
        <v>43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2</v>
      </c>
      <c r="AI133">
        <v>2</v>
      </c>
      <c r="AJ133">
        <v>1</v>
      </c>
    </row>
    <row r="134" spans="1:36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tr">
        <v>yes</v>
      </c>
      <c r="S134" t="s">
        <v>48</v>
      </c>
      <c r="T134">
        <v>4559</v>
      </c>
      <c r="U134">
        <v>24788</v>
      </c>
      <c r="V134">
        <v>3</v>
      </c>
      <c r="W134" t="s">
        <v>42</v>
      </c>
      <c r="X134" t="s">
        <v>35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</row>
    <row r="135" spans="1:36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tr">
        <v>yes</v>
      </c>
      <c r="S135" t="s">
        <v>52</v>
      </c>
      <c r="T135">
        <v>8189</v>
      </c>
      <c r="U135">
        <v>21196</v>
      </c>
      <c r="V135">
        <v>3</v>
      </c>
      <c r="W135" t="s">
        <v>42</v>
      </c>
      <c r="X135" t="s">
        <v>35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7</v>
      </c>
      <c r="AI135">
        <v>0</v>
      </c>
      <c r="AJ135">
        <v>7</v>
      </c>
    </row>
    <row r="136" spans="1:36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tr">
        <v>yes</v>
      </c>
      <c r="S136" t="s">
        <v>48</v>
      </c>
      <c r="T136">
        <v>2942</v>
      </c>
      <c r="U136">
        <v>8916</v>
      </c>
      <c r="V136">
        <v>1</v>
      </c>
      <c r="W136" t="s">
        <v>42</v>
      </c>
      <c r="X136" t="s">
        <v>43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7</v>
      </c>
      <c r="AI136">
        <v>5</v>
      </c>
      <c r="AJ136">
        <v>7</v>
      </c>
    </row>
    <row r="137" spans="1:36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tr">
        <v>no</v>
      </c>
      <c r="S137" t="s">
        <v>52</v>
      </c>
      <c r="T137">
        <v>4941</v>
      </c>
      <c r="U137">
        <v>2819</v>
      </c>
      <c r="V137">
        <v>6</v>
      </c>
      <c r="W137" t="s">
        <v>42</v>
      </c>
      <c r="X137" t="s">
        <v>43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2</v>
      </c>
      <c r="AI137">
        <v>0</v>
      </c>
      <c r="AJ137">
        <v>1</v>
      </c>
    </row>
    <row r="138" spans="1:36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tr">
        <v>yes</v>
      </c>
      <c r="S138" t="s">
        <v>41</v>
      </c>
      <c r="T138">
        <v>10650</v>
      </c>
      <c r="U138">
        <v>25150</v>
      </c>
      <c r="V138">
        <v>2</v>
      </c>
      <c r="W138" t="s">
        <v>42</v>
      </c>
      <c r="X138" t="s">
        <v>43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2</v>
      </c>
      <c r="AI138">
        <v>0</v>
      </c>
      <c r="AJ138">
        <v>3</v>
      </c>
    </row>
    <row r="139" spans="1:36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tr">
        <v>yes</v>
      </c>
      <c r="S139" t="s">
        <v>48</v>
      </c>
      <c r="T139">
        <v>5902</v>
      </c>
      <c r="U139">
        <v>14590</v>
      </c>
      <c r="V139">
        <v>4</v>
      </c>
      <c r="W139" t="s">
        <v>42</v>
      </c>
      <c r="X139" t="s">
        <v>43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11</v>
      </c>
      <c r="AI139">
        <v>5</v>
      </c>
      <c r="AJ139">
        <v>9</v>
      </c>
    </row>
    <row r="140" spans="1:36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tr">
        <v>yes</v>
      </c>
      <c r="S140" t="s">
        <v>48</v>
      </c>
      <c r="T140">
        <v>8639</v>
      </c>
      <c r="U140">
        <v>24835</v>
      </c>
      <c r="V140">
        <v>2</v>
      </c>
      <c r="W140" t="s">
        <v>42</v>
      </c>
      <c r="X140" t="s">
        <v>43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2</v>
      </c>
      <c r="AI140">
        <v>2</v>
      </c>
      <c r="AJ140">
        <v>2</v>
      </c>
    </row>
    <row r="141" spans="1:36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tr">
        <v>yes</v>
      </c>
      <c r="S141" t="s">
        <v>48</v>
      </c>
      <c r="T141">
        <v>6347</v>
      </c>
      <c r="U141">
        <v>13982</v>
      </c>
      <c r="V141">
        <v>0</v>
      </c>
      <c r="W141" t="s">
        <v>42</v>
      </c>
      <c r="X141" t="s">
        <v>35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9</v>
      </c>
      <c r="AI141">
        <v>4</v>
      </c>
      <c r="AJ141">
        <v>7</v>
      </c>
    </row>
    <row r="142" spans="1:36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tr">
        <v>no</v>
      </c>
      <c r="S142" t="s">
        <v>41</v>
      </c>
      <c r="T142">
        <v>4200</v>
      </c>
      <c r="U142">
        <v>10224</v>
      </c>
      <c r="V142">
        <v>7</v>
      </c>
      <c r="W142" t="s">
        <v>42</v>
      </c>
      <c r="X142" t="s">
        <v>43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4</v>
      </c>
      <c r="AI142">
        <v>0</v>
      </c>
      <c r="AJ142">
        <v>4</v>
      </c>
    </row>
    <row r="143" spans="1:36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tr">
        <v>yes</v>
      </c>
      <c r="S143" t="s">
        <v>41</v>
      </c>
      <c r="T143">
        <v>3452</v>
      </c>
      <c r="U143">
        <v>9752</v>
      </c>
      <c r="V143">
        <v>5</v>
      </c>
      <c r="W143" t="s">
        <v>42</v>
      </c>
      <c r="X143" t="s">
        <v>43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5</v>
      </c>
      <c r="AI143">
        <v>0</v>
      </c>
      <c r="AJ143">
        <v>3</v>
      </c>
    </row>
    <row r="144" spans="1:36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tr">
        <v>yes</v>
      </c>
      <c r="S144" t="s">
        <v>41</v>
      </c>
      <c r="T144">
        <v>4317</v>
      </c>
      <c r="U144">
        <v>2302</v>
      </c>
      <c r="V144">
        <v>3</v>
      </c>
      <c r="W144" t="s">
        <v>42</v>
      </c>
      <c r="X144" t="s">
        <v>35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2</v>
      </c>
      <c r="AI144">
        <v>2</v>
      </c>
      <c r="AJ144">
        <v>2</v>
      </c>
    </row>
    <row r="145" spans="1:36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tr">
        <v>yes</v>
      </c>
      <c r="S145" t="s">
        <v>41</v>
      </c>
      <c r="T145">
        <v>2632</v>
      </c>
      <c r="U145">
        <v>23910</v>
      </c>
      <c r="V145">
        <v>1</v>
      </c>
      <c r="W145" t="s">
        <v>42</v>
      </c>
      <c r="X145" t="s">
        <v>43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4</v>
      </c>
      <c r="AI145">
        <v>0</v>
      </c>
      <c r="AJ145">
        <v>4</v>
      </c>
    </row>
    <row r="146" spans="1:36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tr">
        <v>yes</v>
      </c>
      <c r="S146" t="s">
        <v>52</v>
      </c>
      <c r="T146">
        <v>4668</v>
      </c>
      <c r="U146">
        <v>22812</v>
      </c>
      <c r="V146">
        <v>0</v>
      </c>
      <c r="W146" t="s">
        <v>42</v>
      </c>
      <c r="X146" t="s">
        <v>43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7</v>
      </c>
      <c r="AI146">
        <v>0</v>
      </c>
      <c r="AJ146">
        <v>7</v>
      </c>
    </row>
    <row r="147" spans="1:36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tr">
        <v>no</v>
      </c>
      <c r="S147" t="s">
        <v>52</v>
      </c>
      <c r="T147">
        <v>3204</v>
      </c>
      <c r="U147">
        <v>10415</v>
      </c>
      <c r="V147">
        <v>5</v>
      </c>
      <c r="W147" t="s">
        <v>42</v>
      </c>
      <c r="X147" t="s">
        <v>43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2</v>
      </c>
      <c r="AI147">
        <v>2</v>
      </c>
      <c r="AJ147">
        <v>2</v>
      </c>
    </row>
    <row r="148" spans="1:36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tr">
        <v>yes</v>
      </c>
      <c r="S148" t="s">
        <v>41</v>
      </c>
      <c r="T148">
        <v>2720</v>
      </c>
      <c r="U148">
        <v>11162</v>
      </c>
      <c r="V148">
        <v>0</v>
      </c>
      <c r="W148" t="s">
        <v>42</v>
      </c>
      <c r="X148" t="s">
        <v>43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3</v>
      </c>
      <c r="AI148">
        <v>1</v>
      </c>
      <c r="AJ148">
        <v>2</v>
      </c>
    </row>
    <row r="149" spans="1:36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tr">
        <v>no</v>
      </c>
      <c r="S149" t="s">
        <v>52</v>
      </c>
      <c r="T149">
        <v>17181</v>
      </c>
      <c r="U149">
        <v>12888</v>
      </c>
      <c r="V149">
        <v>4</v>
      </c>
      <c r="W149" t="s">
        <v>42</v>
      </c>
      <c r="X149" t="s">
        <v>43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6</v>
      </c>
      <c r="AI149">
        <v>7</v>
      </c>
      <c r="AJ149">
        <v>7</v>
      </c>
    </row>
    <row r="150" spans="1:36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tr">
        <v>no</v>
      </c>
      <c r="S150" t="s">
        <v>48</v>
      </c>
      <c r="T150">
        <v>2238</v>
      </c>
      <c r="U150">
        <v>6961</v>
      </c>
      <c r="V150">
        <v>2</v>
      </c>
      <c r="W150" t="s">
        <v>42</v>
      </c>
      <c r="X150" t="s">
        <v>43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0</v>
      </c>
      <c r="AI150">
        <v>1</v>
      </c>
      <c r="AJ150">
        <v>4</v>
      </c>
    </row>
    <row r="151" spans="1:36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tr">
        <v>no</v>
      </c>
      <c r="S151" t="s">
        <v>41</v>
      </c>
      <c r="T151">
        <v>1483</v>
      </c>
      <c r="U151">
        <v>16102</v>
      </c>
      <c r="V151">
        <v>1</v>
      </c>
      <c r="W151" t="s">
        <v>42</v>
      </c>
      <c r="X151" t="s">
        <v>43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</row>
    <row r="152" spans="1:36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tr">
        <v>no</v>
      </c>
      <c r="S152" t="s">
        <v>52</v>
      </c>
      <c r="T152">
        <v>5605</v>
      </c>
      <c r="U152">
        <v>8504</v>
      </c>
      <c r="V152">
        <v>1</v>
      </c>
      <c r="W152" t="s">
        <v>42</v>
      </c>
      <c r="X152" t="s">
        <v>43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7</v>
      </c>
      <c r="AI152">
        <v>2</v>
      </c>
      <c r="AJ152">
        <v>13</v>
      </c>
    </row>
    <row r="153" spans="1:36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tr">
        <v>no</v>
      </c>
      <c r="S153" t="s">
        <v>48</v>
      </c>
      <c r="T153">
        <v>7295</v>
      </c>
      <c r="U153">
        <v>11439</v>
      </c>
      <c r="V153">
        <v>1</v>
      </c>
      <c r="W153" t="s">
        <v>42</v>
      </c>
      <c r="X153" t="s">
        <v>43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8</v>
      </c>
      <c r="AI153">
        <v>0</v>
      </c>
      <c r="AJ153">
        <v>6</v>
      </c>
    </row>
    <row r="154" spans="1:36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tr">
        <v>yes</v>
      </c>
      <c r="S154" t="s">
        <v>48</v>
      </c>
      <c r="T154">
        <v>2306</v>
      </c>
      <c r="U154">
        <v>16047</v>
      </c>
      <c r="V154">
        <v>2</v>
      </c>
      <c r="W154" t="s">
        <v>42</v>
      </c>
      <c r="X154" t="s">
        <v>35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7</v>
      </c>
      <c r="AI154">
        <v>4</v>
      </c>
      <c r="AJ154">
        <v>5</v>
      </c>
    </row>
    <row r="155" spans="1:36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tr">
        <v>no</v>
      </c>
      <c r="S155" t="s">
        <v>52</v>
      </c>
      <c r="T155">
        <v>2348</v>
      </c>
      <c r="U155">
        <v>10901</v>
      </c>
      <c r="V155">
        <v>8</v>
      </c>
      <c r="W155" t="s">
        <v>42</v>
      </c>
      <c r="X155" t="s">
        <v>43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9</v>
      </c>
      <c r="AI155">
        <v>0</v>
      </c>
      <c r="AJ155">
        <v>15</v>
      </c>
    </row>
    <row r="156" spans="1:36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tr">
        <v>yes</v>
      </c>
      <c r="S156" t="s">
        <v>41</v>
      </c>
      <c r="T156">
        <v>8998</v>
      </c>
      <c r="U156">
        <v>15589</v>
      </c>
      <c r="V156">
        <v>1</v>
      </c>
      <c r="W156" t="s">
        <v>42</v>
      </c>
      <c r="X156" t="s">
        <v>43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8</v>
      </c>
      <c r="AI156">
        <v>3</v>
      </c>
      <c r="AJ156">
        <v>7</v>
      </c>
    </row>
    <row r="157" spans="1:36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tr">
        <v>yes</v>
      </c>
      <c r="S157" t="s">
        <v>48</v>
      </c>
      <c r="T157">
        <v>4319</v>
      </c>
      <c r="U157">
        <v>26283</v>
      </c>
      <c r="V157">
        <v>1</v>
      </c>
      <c r="W157" t="s">
        <v>42</v>
      </c>
      <c r="X157" t="s">
        <v>43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7</v>
      </c>
      <c r="AI157">
        <v>0</v>
      </c>
      <c r="AJ157">
        <v>9</v>
      </c>
    </row>
    <row r="158" spans="1:36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tr">
        <v>yes</v>
      </c>
      <c r="S158" t="s">
        <v>48</v>
      </c>
      <c r="T158">
        <v>6132</v>
      </c>
      <c r="U158">
        <v>13983</v>
      </c>
      <c r="V158">
        <v>2</v>
      </c>
      <c r="W158" t="s">
        <v>42</v>
      </c>
      <c r="X158" t="s">
        <v>43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0</v>
      </c>
      <c r="AI158">
        <v>0</v>
      </c>
      <c r="AJ158">
        <v>0</v>
      </c>
    </row>
    <row r="159" spans="1:36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tr">
        <v>no</v>
      </c>
      <c r="S159" t="s">
        <v>48</v>
      </c>
      <c r="T159">
        <v>3346</v>
      </c>
      <c r="U159">
        <v>11873</v>
      </c>
      <c r="V159">
        <v>4</v>
      </c>
      <c r="W159" t="s">
        <v>42</v>
      </c>
      <c r="X159" t="s">
        <v>35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0</v>
      </c>
      <c r="AI159">
        <v>0</v>
      </c>
      <c r="AJ159">
        <v>0</v>
      </c>
    </row>
    <row r="160" spans="1:36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tr">
        <v>yes</v>
      </c>
      <c r="S160" t="s">
        <v>48</v>
      </c>
      <c r="T160">
        <v>10855</v>
      </c>
      <c r="U160">
        <v>8552</v>
      </c>
      <c r="V160">
        <v>7</v>
      </c>
      <c r="W160" t="s">
        <v>42</v>
      </c>
      <c r="X160" t="s">
        <v>43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11</v>
      </c>
      <c r="AI160">
        <v>2</v>
      </c>
      <c r="AJ160">
        <v>11</v>
      </c>
    </row>
    <row r="161" spans="1:36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tr">
        <v>yes</v>
      </c>
      <c r="S161" t="s">
        <v>48</v>
      </c>
      <c r="T161">
        <v>2231</v>
      </c>
      <c r="U161">
        <v>11314</v>
      </c>
      <c r="V161">
        <v>6</v>
      </c>
      <c r="W161" t="s">
        <v>42</v>
      </c>
      <c r="X161" t="s">
        <v>43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3</v>
      </c>
      <c r="AI161">
        <v>1</v>
      </c>
      <c r="AJ161">
        <v>2</v>
      </c>
    </row>
    <row r="162" spans="1:36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tr">
        <v>yes</v>
      </c>
      <c r="S162" t="s">
        <v>48</v>
      </c>
      <c r="T162">
        <v>2323</v>
      </c>
      <c r="U162">
        <v>11992</v>
      </c>
      <c r="V162">
        <v>1</v>
      </c>
      <c r="W162" t="s">
        <v>42</v>
      </c>
      <c r="X162" t="s">
        <v>43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2</v>
      </c>
      <c r="AI162">
        <v>2</v>
      </c>
      <c r="AJ162">
        <v>2</v>
      </c>
    </row>
    <row r="163" spans="1:36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tr">
        <v>no</v>
      </c>
      <c r="S163" t="s">
        <v>52</v>
      </c>
      <c r="T163">
        <v>2024</v>
      </c>
      <c r="U163">
        <v>5970</v>
      </c>
      <c r="V163">
        <v>6</v>
      </c>
      <c r="W163" t="s">
        <v>42</v>
      </c>
      <c r="X163" t="s">
        <v>43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2</v>
      </c>
      <c r="AI163">
        <v>2</v>
      </c>
      <c r="AJ163">
        <v>2</v>
      </c>
    </row>
    <row r="164" spans="1:36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tr">
        <v>yes</v>
      </c>
      <c r="S164" t="s">
        <v>48</v>
      </c>
      <c r="T164">
        <v>2713</v>
      </c>
      <c r="U164">
        <v>6672</v>
      </c>
      <c r="V164">
        <v>1</v>
      </c>
      <c r="W164" t="s">
        <v>42</v>
      </c>
      <c r="X164" t="s">
        <v>43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2</v>
      </c>
      <c r="AI164">
        <v>0</v>
      </c>
      <c r="AJ164">
        <v>2</v>
      </c>
    </row>
    <row r="165" spans="1:36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tr">
        <v>yes</v>
      </c>
      <c r="S165" t="s">
        <v>52</v>
      </c>
      <c r="T165">
        <v>9439</v>
      </c>
      <c r="U165">
        <v>23402</v>
      </c>
      <c r="V165">
        <v>3</v>
      </c>
      <c r="W165" t="s">
        <v>42</v>
      </c>
      <c r="X165" t="s">
        <v>35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3</v>
      </c>
      <c r="AI165">
        <v>1</v>
      </c>
      <c r="AJ165">
        <v>4</v>
      </c>
    </row>
    <row r="166" spans="1:36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tr">
        <v>yes</v>
      </c>
      <c r="S166" t="s">
        <v>52</v>
      </c>
      <c r="T166">
        <v>2566</v>
      </c>
      <c r="U166">
        <v>25326</v>
      </c>
      <c r="V166">
        <v>1</v>
      </c>
      <c r="W166" t="s">
        <v>42</v>
      </c>
      <c r="X166" t="s">
        <v>35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1</v>
      </c>
      <c r="AI166">
        <v>0</v>
      </c>
      <c r="AJ166">
        <v>1</v>
      </c>
    </row>
    <row r="167" spans="1:36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tr">
        <v>no</v>
      </c>
      <c r="S167" t="s">
        <v>41</v>
      </c>
      <c r="T167">
        <v>19926</v>
      </c>
      <c r="U167">
        <v>17053</v>
      </c>
      <c r="V167">
        <v>3</v>
      </c>
      <c r="W167" t="s">
        <v>42</v>
      </c>
      <c r="X167" t="s">
        <v>43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4</v>
      </c>
      <c r="AI167">
        <v>4</v>
      </c>
      <c r="AJ167">
        <v>4</v>
      </c>
    </row>
    <row r="168" spans="1:36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tr">
        <v>yes</v>
      </c>
      <c r="S168" t="s">
        <v>52</v>
      </c>
      <c r="T168">
        <v>2451</v>
      </c>
      <c r="U168">
        <v>4609</v>
      </c>
      <c r="V168">
        <v>4</v>
      </c>
      <c r="W168" t="s">
        <v>42</v>
      </c>
      <c r="X168" t="s">
        <v>43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8</v>
      </c>
      <c r="AI168">
        <v>1</v>
      </c>
      <c r="AJ168">
        <v>8</v>
      </c>
    </row>
    <row r="169" spans="1:36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tr">
        <v>yes</v>
      </c>
      <c r="S169" t="s">
        <v>48</v>
      </c>
      <c r="T169">
        <v>9419</v>
      </c>
      <c r="U169">
        <v>8053</v>
      </c>
      <c r="V169">
        <v>2</v>
      </c>
      <c r="W169" t="s">
        <v>42</v>
      </c>
      <c r="X169" t="s">
        <v>43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9</v>
      </c>
      <c r="AI169">
        <v>7</v>
      </c>
      <c r="AJ169">
        <v>4</v>
      </c>
    </row>
    <row r="170" spans="1:36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tr">
        <v>yes</v>
      </c>
      <c r="S170" t="s">
        <v>41</v>
      </c>
      <c r="T170">
        <v>8686</v>
      </c>
      <c r="U170">
        <v>12930</v>
      </c>
      <c r="V170">
        <v>4</v>
      </c>
      <c r="W170" t="s">
        <v>42</v>
      </c>
      <c r="X170" t="s">
        <v>43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3</v>
      </c>
      <c r="AI170">
        <v>0</v>
      </c>
      <c r="AJ170">
        <v>7</v>
      </c>
    </row>
    <row r="171" spans="1:36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tr">
        <v>yes</v>
      </c>
      <c r="S171" t="s">
        <v>41</v>
      </c>
      <c r="T171">
        <v>3038</v>
      </c>
      <c r="U171">
        <v>12430</v>
      </c>
      <c r="V171">
        <v>3</v>
      </c>
      <c r="W171" t="s">
        <v>42</v>
      </c>
      <c r="X171" t="s">
        <v>43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4</v>
      </c>
      <c r="AI171">
        <v>1</v>
      </c>
      <c r="AJ171">
        <v>4</v>
      </c>
    </row>
    <row r="172" spans="1:36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tr">
        <v>no</v>
      </c>
      <c r="S172" t="s">
        <v>48</v>
      </c>
      <c r="T172">
        <v>3058</v>
      </c>
      <c r="U172">
        <v>13364</v>
      </c>
      <c r="V172">
        <v>0</v>
      </c>
      <c r="W172" t="s">
        <v>42</v>
      </c>
      <c r="X172" t="s">
        <v>35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2</v>
      </c>
      <c r="AI172">
        <v>1</v>
      </c>
      <c r="AJ172">
        <v>1</v>
      </c>
    </row>
    <row r="173" spans="1:36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tr">
        <v>no</v>
      </c>
      <c r="S173" t="s">
        <v>41</v>
      </c>
      <c r="T173">
        <v>2325</v>
      </c>
      <c r="U173">
        <v>20989</v>
      </c>
      <c r="V173">
        <v>0</v>
      </c>
      <c r="W173" t="s">
        <v>42</v>
      </c>
      <c r="X173" t="s">
        <v>43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0</v>
      </c>
      <c r="AI173">
        <v>0</v>
      </c>
      <c r="AJ173">
        <v>0</v>
      </c>
    </row>
    <row r="174" spans="1:36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tr">
        <v>no</v>
      </c>
      <c r="S174" t="s">
        <v>41</v>
      </c>
      <c r="T174">
        <v>2088</v>
      </c>
      <c r="U174">
        <v>15062</v>
      </c>
      <c r="V174">
        <v>4</v>
      </c>
      <c r="W174" t="s">
        <v>42</v>
      </c>
      <c r="X174" t="s">
        <v>43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7</v>
      </c>
      <c r="AI174">
        <v>7</v>
      </c>
      <c r="AJ174">
        <v>2</v>
      </c>
    </row>
    <row r="175" spans="1:36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tr">
        <v>no</v>
      </c>
      <c r="S175" t="s">
        <v>52</v>
      </c>
      <c r="T175">
        <v>3072</v>
      </c>
      <c r="U175">
        <v>11012</v>
      </c>
      <c r="V175">
        <v>1</v>
      </c>
      <c r="W175" t="s">
        <v>42</v>
      </c>
      <c r="X175" t="s">
        <v>43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9</v>
      </c>
      <c r="AI175">
        <v>6</v>
      </c>
      <c r="AJ175">
        <v>10</v>
      </c>
    </row>
    <row r="176" spans="1:36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tr">
        <v>no</v>
      </c>
      <c r="S176" t="s">
        <v>52</v>
      </c>
      <c r="T176">
        <v>5006</v>
      </c>
      <c r="U176">
        <v>6319</v>
      </c>
      <c r="V176">
        <v>4</v>
      </c>
      <c r="W176" t="s">
        <v>42</v>
      </c>
      <c r="X176" t="s">
        <v>35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0</v>
      </c>
      <c r="AJ176">
        <v>3</v>
      </c>
    </row>
    <row r="177" spans="1:36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tr">
        <v>no</v>
      </c>
      <c r="S177" t="s">
        <v>52</v>
      </c>
      <c r="T177">
        <v>4257</v>
      </c>
      <c r="U177">
        <v>13939</v>
      </c>
      <c r="V177">
        <v>4</v>
      </c>
      <c r="W177" t="s">
        <v>42</v>
      </c>
      <c r="X177" t="s">
        <v>35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2</v>
      </c>
      <c r="AI177">
        <v>2</v>
      </c>
      <c r="AJ177">
        <v>2</v>
      </c>
    </row>
    <row r="178" spans="1:36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tr">
        <v>yes</v>
      </c>
      <c r="S178" t="s">
        <v>41</v>
      </c>
      <c r="T178">
        <v>2500</v>
      </c>
      <c r="U178">
        <v>10515</v>
      </c>
      <c r="V178">
        <v>0</v>
      </c>
      <c r="W178" t="s">
        <v>42</v>
      </c>
      <c r="X178" t="s">
        <v>43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0</v>
      </c>
      <c r="AJ178">
        <v>2</v>
      </c>
    </row>
    <row r="179" spans="1:36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tr">
        <v>yes</v>
      </c>
      <c r="S179" t="s">
        <v>41</v>
      </c>
      <c r="T179">
        <v>1102</v>
      </c>
      <c r="U179">
        <v>9241</v>
      </c>
      <c r="V179">
        <v>1</v>
      </c>
      <c r="W179" t="s">
        <v>42</v>
      </c>
      <c r="X179" t="s">
        <v>43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1</v>
      </c>
      <c r="AJ179">
        <v>0</v>
      </c>
    </row>
    <row r="180" spans="1:36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tr">
        <v>no</v>
      </c>
      <c r="S180" t="s">
        <v>52</v>
      </c>
      <c r="T180">
        <v>10453</v>
      </c>
      <c r="U180">
        <v>2137</v>
      </c>
      <c r="V180">
        <v>1</v>
      </c>
      <c r="W180" t="s">
        <v>42</v>
      </c>
      <c r="X180" t="s">
        <v>43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13</v>
      </c>
      <c r="AI180">
        <v>15</v>
      </c>
      <c r="AJ180">
        <v>7</v>
      </c>
    </row>
    <row r="181" spans="1:36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tr">
        <v>yes</v>
      </c>
      <c r="S181" t="s">
        <v>41</v>
      </c>
      <c r="T181">
        <v>2288</v>
      </c>
      <c r="U181">
        <v>6319</v>
      </c>
      <c r="V181">
        <v>1</v>
      </c>
      <c r="W181" t="s">
        <v>42</v>
      </c>
      <c r="X181" t="s">
        <v>43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2</v>
      </c>
      <c r="AI181">
        <v>2</v>
      </c>
      <c r="AJ181">
        <v>1</v>
      </c>
    </row>
    <row r="182" spans="1:36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tr">
        <v>yes</v>
      </c>
      <c r="S182" t="s">
        <v>48</v>
      </c>
      <c r="T182">
        <v>3929</v>
      </c>
      <c r="U182">
        <v>6984</v>
      </c>
      <c r="V182">
        <v>8</v>
      </c>
      <c r="W182" t="s">
        <v>42</v>
      </c>
      <c r="X182" t="s">
        <v>35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2</v>
      </c>
      <c r="AI182">
        <v>0</v>
      </c>
      <c r="AJ182">
        <v>2</v>
      </c>
    </row>
    <row r="183" spans="1:36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tr">
        <v>no</v>
      </c>
      <c r="S183" t="s">
        <v>41</v>
      </c>
      <c r="T183">
        <v>2311</v>
      </c>
      <c r="U183">
        <v>5711</v>
      </c>
      <c r="V183">
        <v>2</v>
      </c>
      <c r="W183" t="s">
        <v>42</v>
      </c>
      <c r="X183" t="s">
        <v>43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2</v>
      </c>
      <c r="AI183">
        <v>1</v>
      </c>
      <c r="AJ183">
        <v>2</v>
      </c>
    </row>
    <row r="184" spans="1:36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tr">
        <v>no</v>
      </c>
      <c r="S184" t="s">
        <v>41</v>
      </c>
      <c r="T184">
        <v>3140</v>
      </c>
      <c r="U184">
        <v>21728</v>
      </c>
      <c r="V184">
        <v>1</v>
      </c>
      <c r="W184" t="s">
        <v>42</v>
      </c>
      <c r="X184" t="s">
        <v>35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3</v>
      </c>
      <c r="AI184">
        <v>0</v>
      </c>
      <c r="AJ184">
        <v>2</v>
      </c>
    </row>
    <row r="185" spans="1:36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tr">
        <v>yes</v>
      </c>
      <c r="S185" t="s">
        <v>48</v>
      </c>
      <c r="T185">
        <v>3690</v>
      </c>
      <c r="U185">
        <v>3425</v>
      </c>
      <c r="V185">
        <v>2</v>
      </c>
      <c r="W185" t="s">
        <v>42</v>
      </c>
      <c r="X185" t="s">
        <v>43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0</v>
      </c>
      <c r="AJ185">
        <v>2</v>
      </c>
    </row>
    <row r="186" spans="1:36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tr">
        <v>no</v>
      </c>
      <c r="S186" t="s">
        <v>52</v>
      </c>
      <c r="T186">
        <v>4450</v>
      </c>
      <c r="U186">
        <v>26250</v>
      </c>
      <c r="V186">
        <v>1</v>
      </c>
      <c r="W186" t="s">
        <v>42</v>
      </c>
      <c r="X186" t="s">
        <v>43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2</v>
      </c>
      <c r="AI186">
        <v>1</v>
      </c>
      <c r="AJ186">
        <v>3</v>
      </c>
    </row>
    <row r="187" spans="1:36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tr">
        <v>no</v>
      </c>
      <c r="S187" t="s">
        <v>48</v>
      </c>
      <c r="T187">
        <v>2756</v>
      </c>
      <c r="U187">
        <v>4673</v>
      </c>
      <c r="V187">
        <v>1</v>
      </c>
      <c r="W187" t="s">
        <v>42</v>
      </c>
      <c r="X187" t="s">
        <v>43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7</v>
      </c>
      <c r="AI187">
        <v>1</v>
      </c>
      <c r="AJ187">
        <v>6</v>
      </c>
    </row>
    <row r="188" spans="1:36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tr">
        <v>yes</v>
      </c>
      <c r="S188" t="s">
        <v>48</v>
      </c>
      <c r="T188">
        <v>19033</v>
      </c>
      <c r="U188">
        <v>6499</v>
      </c>
      <c r="V188">
        <v>1</v>
      </c>
      <c r="W188" t="s">
        <v>42</v>
      </c>
      <c r="X188" t="s">
        <v>43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8</v>
      </c>
      <c r="AI188">
        <v>9</v>
      </c>
      <c r="AJ188">
        <v>9</v>
      </c>
    </row>
    <row r="189" spans="1:36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tr">
        <v>no</v>
      </c>
      <c r="S189" t="s">
        <v>41</v>
      </c>
      <c r="T189">
        <v>18722</v>
      </c>
      <c r="U189">
        <v>13339</v>
      </c>
      <c r="V189">
        <v>8</v>
      </c>
      <c r="W189" t="s">
        <v>42</v>
      </c>
      <c r="X189" t="s">
        <v>43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15</v>
      </c>
      <c r="AI189">
        <v>2</v>
      </c>
      <c r="AJ189">
        <v>15</v>
      </c>
    </row>
    <row r="190" spans="1:36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tr">
        <v>yes</v>
      </c>
      <c r="S190" t="s">
        <v>48</v>
      </c>
      <c r="T190">
        <v>9547</v>
      </c>
      <c r="U190">
        <v>14074</v>
      </c>
      <c r="V190">
        <v>1</v>
      </c>
      <c r="W190" t="s">
        <v>42</v>
      </c>
      <c r="X190" t="s">
        <v>43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9</v>
      </c>
      <c r="AI190">
        <v>1</v>
      </c>
      <c r="AJ190">
        <v>9</v>
      </c>
    </row>
    <row r="191" spans="1:36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tr">
        <v>no</v>
      </c>
      <c r="S191" t="s">
        <v>41</v>
      </c>
      <c r="T191">
        <v>13734</v>
      </c>
      <c r="U191">
        <v>7192</v>
      </c>
      <c r="V191">
        <v>3</v>
      </c>
      <c r="W191" t="s">
        <v>42</v>
      </c>
      <c r="X191" t="s">
        <v>43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7</v>
      </c>
      <c r="AI191">
        <v>1</v>
      </c>
      <c r="AJ191">
        <v>0</v>
      </c>
    </row>
    <row r="192" spans="1:36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tr">
        <v>yes</v>
      </c>
      <c r="S192" t="s">
        <v>48</v>
      </c>
      <c r="T192">
        <v>19999</v>
      </c>
      <c r="U192">
        <v>5678</v>
      </c>
      <c r="V192">
        <v>0</v>
      </c>
      <c r="W192" t="s">
        <v>42</v>
      </c>
      <c r="X192" t="s">
        <v>43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18</v>
      </c>
      <c r="AI192">
        <v>11</v>
      </c>
      <c r="AJ192">
        <v>9</v>
      </c>
    </row>
    <row r="193" spans="1:36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tr">
        <v>no</v>
      </c>
      <c r="S193" t="s">
        <v>41</v>
      </c>
      <c r="T193">
        <v>2279</v>
      </c>
      <c r="U193">
        <v>11781</v>
      </c>
      <c r="V193">
        <v>1</v>
      </c>
      <c r="W193" t="s">
        <v>42</v>
      </c>
      <c r="X193" t="s">
        <v>43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7</v>
      </c>
      <c r="AI193">
        <v>0</v>
      </c>
      <c r="AJ193">
        <v>3</v>
      </c>
    </row>
    <row r="194" spans="1:36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tr">
        <v>yes</v>
      </c>
      <c r="S194" t="s">
        <v>48</v>
      </c>
      <c r="T194">
        <v>5916</v>
      </c>
      <c r="U194">
        <v>15497</v>
      </c>
      <c r="V194">
        <v>3</v>
      </c>
      <c r="W194" t="s">
        <v>42</v>
      </c>
      <c r="X194" t="s">
        <v>35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0</v>
      </c>
      <c r="AI194">
        <v>0</v>
      </c>
      <c r="AJ194">
        <v>1</v>
      </c>
    </row>
    <row r="195" spans="1:36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tr">
        <v>yes</v>
      </c>
      <c r="S195" t="s">
        <v>52</v>
      </c>
      <c r="T195">
        <v>2089</v>
      </c>
      <c r="U195">
        <v>5228</v>
      </c>
      <c r="V195">
        <v>4</v>
      </c>
      <c r="W195" t="s">
        <v>42</v>
      </c>
      <c r="X195" t="s">
        <v>43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4</v>
      </c>
      <c r="AI195">
        <v>2</v>
      </c>
      <c r="AJ195">
        <v>2</v>
      </c>
    </row>
    <row r="196" spans="1:36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tr">
        <v>yes</v>
      </c>
      <c r="S196" t="s">
        <v>48</v>
      </c>
      <c r="T196">
        <v>16792</v>
      </c>
      <c r="U196">
        <v>20462</v>
      </c>
      <c r="V196">
        <v>9</v>
      </c>
      <c r="W196" t="s">
        <v>42</v>
      </c>
      <c r="X196" t="s">
        <v>43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8</v>
      </c>
      <c r="AI196">
        <v>11</v>
      </c>
      <c r="AJ196">
        <v>8</v>
      </c>
    </row>
    <row r="197" spans="1:36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tr">
        <v>no</v>
      </c>
      <c r="S197" t="s">
        <v>48</v>
      </c>
      <c r="T197">
        <v>3564</v>
      </c>
      <c r="U197">
        <v>22977</v>
      </c>
      <c r="V197">
        <v>1</v>
      </c>
      <c r="W197" t="s">
        <v>42</v>
      </c>
      <c r="X197" t="s">
        <v>35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7</v>
      </c>
      <c r="AI197">
        <v>1</v>
      </c>
      <c r="AJ197">
        <v>7</v>
      </c>
    </row>
    <row r="198" spans="1:36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tr">
        <v>no</v>
      </c>
      <c r="S198" t="s">
        <v>41</v>
      </c>
      <c r="T198">
        <v>4425</v>
      </c>
      <c r="U198">
        <v>15986</v>
      </c>
      <c r="V198">
        <v>5</v>
      </c>
      <c r="W198" t="s">
        <v>42</v>
      </c>
      <c r="X198" t="s">
        <v>43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2</v>
      </c>
      <c r="AI198">
        <v>1</v>
      </c>
      <c r="AJ198">
        <v>2</v>
      </c>
    </row>
    <row r="199" spans="1:36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tr">
        <v>yes</v>
      </c>
      <c r="S199" t="s">
        <v>52</v>
      </c>
      <c r="T199">
        <v>5265</v>
      </c>
      <c r="U199">
        <v>16439</v>
      </c>
      <c r="V199">
        <v>2</v>
      </c>
      <c r="W199" t="s">
        <v>42</v>
      </c>
      <c r="X199" t="s">
        <v>43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3</v>
      </c>
      <c r="AI199">
        <v>0</v>
      </c>
      <c r="AJ199">
        <v>2</v>
      </c>
    </row>
    <row r="200" spans="1:36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tr">
        <v>yes</v>
      </c>
      <c r="S200" t="s">
        <v>48</v>
      </c>
      <c r="T200">
        <v>6553</v>
      </c>
      <c r="U200">
        <v>7259</v>
      </c>
      <c r="V200">
        <v>9</v>
      </c>
      <c r="W200" t="s">
        <v>42</v>
      </c>
      <c r="X200" t="s">
        <v>43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0</v>
      </c>
      <c r="AI200">
        <v>0</v>
      </c>
      <c r="AJ200">
        <v>0</v>
      </c>
    </row>
    <row r="201" spans="1:36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tr">
        <v>yes</v>
      </c>
      <c r="S201" t="s">
        <v>48</v>
      </c>
      <c r="T201">
        <v>6261</v>
      </c>
      <c r="U201">
        <v>4185</v>
      </c>
      <c r="V201">
        <v>3</v>
      </c>
      <c r="W201" t="s">
        <v>42</v>
      </c>
      <c r="X201" t="s">
        <v>43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7</v>
      </c>
      <c r="AI201">
        <v>1</v>
      </c>
      <c r="AJ201">
        <v>7</v>
      </c>
    </row>
    <row r="202" spans="1:36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tr">
        <v>no</v>
      </c>
      <c r="S202" t="s">
        <v>48</v>
      </c>
      <c r="T202">
        <v>4298</v>
      </c>
      <c r="U202">
        <v>9679</v>
      </c>
      <c r="V202">
        <v>5</v>
      </c>
      <c r="W202" t="s">
        <v>42</v>
      </c>
      <c r="X202" t="s">
        <v>43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2</v>
      </c>
      <c r="AI202">
        <v>2</v>
      </c>
      <c r="AJ202">
        <v>0</v>
      </c>
    </row>
    <row r="203" spans="1:36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tr">
        <v>yes</v>
      </c>
      <c r="S203" t="s">
        <v>52</v>
      </c>
      <c r="T203">
        <v>6804</v>
      </c>
      <c r="U203">
        <v>23793</v>
      </c>
      <c r="V203">
        <v>1</v>
      </c>
      <c r="W203" t="s">
        <v>42</v>
      </c>
      <c r="X203" t="s">
        <v>35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7</v>
      </c>
      <c r="AI203">
        <v>1</v>
      </c>
      <c r="AJ203">
        <v>7</v>
      </c>
    </row>
    <row r="204" spans="1:36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tr">
        <v>yes</v>
      </c>
      <c r="S204" t="s">
        <v>52</v>
      </c>
      <c r="T204">
        <v>3815</v>
      </c>
      <c r="U204">
        <v>5972</v>
      </c>
      <c r="V204">
        <v>1</v>
      </c>
      <c r="W204" t="s">
        <v>42</v>
      </c>
      <c r="X204" t="s">
        <v>35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3</v>
      </c>
      <c r="AI204">
        <v>2</v>
      </c>
      <c r="AJ204">
        <v>0</v>
      </c>
    </row>
    <row r="205" spans="1:36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tr">
        <v>yes</v>
      </c>
      <c r="S205" t="s">
        <v>48</v>
      </c>
      <c r="T205">
        <v>2741</v>
      </c>
      <c r="U205">
        <v>16523</v>
      </c>
      <c r="V205">
        <v>8</v>
      </c>
      <c r="W205" t="s">
        <v>42</v>
      </c>
      <c r="X205" t="s">
        <v>35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2</v>
      </c>
      <c r="AI205">
        <v>3</v>
      </c>
      <c r="AJ205">
        <v>7</v>
      </c>
    </row>
    <row r="206" spans="1:36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tr">
        <v>no</v>
      </c>
      <c r="S206" t="s">
        <v>48</v>
      </c>
      <c r="T206">
        <v>6673</v>
      </c>
      <c r="U206">
        <v>11354</v>
      </c>
      <c r="V206">
        <v>7</v>
      </c>
      <c r="W206" t="s">
        <v>42</v>
      </c>
      <c r="X206" t="s">
        <v>35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0</v>
      </c>
      <c r="AI206">
        <v>0</v>
      </c>
      <c r="AJ206">
        <v>0</v>
      </c>
    </row>
    <row r="207" spans="1:36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tr">
        <v>yes</v>
      </c>
      <c r="S207" t="s">
        <v>48</v>
      </c>
      <c r="T207">
        <v>7639</v>
      </c>
      <c r="U207">
        <v>24525</v>
      </c>
      <c r="V207">
        <v>1</v>
      </c>
      <c r="W207" t="s">
        <v>42</v>
      </c>
      <c r="X207" t="s">
        <v>43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4</v>
      </c>
      <c r="AI207">
        <v>1</v>
      </c>
      <c r="AJ207">
        <v>9</v>
      </c>
    </row>
    <row r="208" spans="1:36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tr">
        <v>no</v>
      </c>
      <c r="S208" t="s">
        <v>52</v>
      </c>
      <c r="T208">
        <v>2328</v>
      </c>
      <c r="U208">
        <v>12392</v>
      </c>
      <c r="V208">
        <v>1</v>
      </c>
      <c r="W208" t="s">
        <v>42</v>
      </c>
      <c r="X208" t="s">
        <v>35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2</v>
      </c>
      <c r="AI208">
        <v>2</v>
      </c>
      <c r="AJ208">
        <v>2</v>
      </c>
    </row>
    <row r="209" spans="1:36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tr">
        <v>yes</v>
      </c>
      <c r="S209" t="s">
        <v>41</v>
      </c>
      <c r="T209">
        <v>2153</v>
      </c>
      <c r="U209">
        <v>7703</v>
      </c>
      <c r="V209">
        <v>1</v>
      </c>
      <c r="W209" t="s">
        <v>42</v>
      </c>
      <c r="X209" t="s">
        <v>43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1</v>
      </c>
      <c r="AI209">
        <v>1</v>
      </c>
      <c r="AJ209">
        <v>7</v>
      </c>
    </row>
    <row r="210" spans="1:36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tr">
        <v>yes</v>
      </c>
      <c r="S210" t="s">
        <v>48</v>
      </c>
      <c r="T210">
        <v>4876</v>
      </c>
      <c r="U210">
        <v>14242</v>
      </c>
      <c r="V210">
        <v>9</v>
      </c>
      <c r="W210" t="s">
        <v>42</v>
      </c>
      <c r="X210" t="s">
        <v>43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0</v>
      </c>
      <c r="AJ210">
        <v>2</v>
      </c>
    </row>
    <row r="211" spans="1:36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tr">
        <v>no</v>
      </c>
      <c r="S211" t="s">
        <v>52</v>
      </c>
      <c r="T211">
        <v>9396</v>
      </c>
      <c r="U211">
        <v>12368</v>
      </c>
      <c r="V211">
        <v>7</v>
      </c>
      <c r="W211" t="s">
        <v>42</v>
      </c>
      <c r="X211" t="s">
        <v>43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2</v>
      </c>
      <c r="AI211">
        <v>0</v>
      </c>
      <c r="AJ211">
        <v>3</v>
      </c>
    </row>
    <row r="212" spans="1:36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tr">
        <v>yes</v>
      </c>
      <c r="S212" t="s">
        <v>48</v>
      </c>
      <c r="T212">
        <v>10400</v>
      </c>
      <c r="U212">
        <v>25812</v>
      </c>
      <c r="V212">
        <v>1</v>
      </c>
      <c r="W212" t="s">
        <v>42</v>
      </c>
      <c r="X212" t="s">
        <v>43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8</v>
      </c>
      <c r="AI212">
        <v>9</v>
      </c>
      <c r="AJ212">
        <v>8</v>
      </c>
    </row>
    <row r="213" spans="1:36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tr">
        <v>yes</v>
      </c>
      <c r="S213" t="s">
        <v>41</v>
      </c>
      <c r="T213">
        <v>8474</v>
      </c>
      <c r="U213">
        <v>20925</v>
      </c>
      <c r="V213">
        <v>1</v>
      </c>
      <c r="W213" t="s">
        <v>42</v>
      </c>
      <c r="X213" t="s">
        <v>43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8</v>
      </c>
      <c r="AI213">
        <v>5</v>
      </c>
      <c r="AJ213">
        <v>8</v>
      </c>
    </row>
    <row r="214" spans="1:36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tr">
        <v>yes</v>
      </c>
      <c r="S214" t="s">
        <v>41</v>
      </c>
      <c r="T214">
        <v>9981</v>
      </c>
      <c r="U214">
        <v>12916</v>
      </c>
      <c r="V214">
        <v>1</v>
      </c>
      <c r="W214" t="s">
        <v>42</v>
      </c>
      <c r="X214" t="s">
        <v>43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7</v>
      </c>
      <c r="AI214">
        <v>0</v>
      </c>
      <c r="AJ214">
        <v>7</v>
      </c>
    </row>
    <row r="215" spans="1:36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tr">
        <v>no</v>
      </c>
      <c r="S215" t="s">
        <v>48</v>
      </c>
      <c r="T215">
        <v>12490</v>
      </c>
      <c r="U215">
        <v>15736</v>
      </c>
      <c r="V215">
        <v>5</v>
      </c>
      <c r="W215" t="s">
        <v>42</v>
      </c>
      <c r="X215" t="s">
        <v>43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9</v>
      </c>
      <c r="AI215">
        <v>4</v>
      </c>
      <c r="AJ215">
        <v>7</v>
      </c>
    </row>
    <row r="216" spans="1:36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tr">
        <v>no</v>
      </c>
      <c r="S216" t="s">
        <v>41</v>
      </c>
      <c r="T216">
        <v>2657</v>
      </c>
      <c r="U216">
        <v>8556</v>
      </c>
      <c r="V216">
        <v>5</v>
      </c>
      <c r="W216" t="s">
        <v>42</v>
      </c>
      <c r="X216" t="s">
        <v>35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2</v>
      </c>
      <c r="AI216">
        <v>0</v>
      </c>
      <c r="AJ216">
        <v>4</v>
      </c>
    </row>
    <row r="217" spans="1:36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tr">
        <v>yes</v>
      </c>
      <c r="S217" t="s">
        <v>41</v>
      </c>
      <c r="T217">
        <v>13591</v>
      </c>
      <c r="U217">
        <v>14674</v>
      </c>
      <c r="V217">
        <v>3</v>
      </c>
      <c r="W217" t="s">
        <v>42</v>
      </c>
      <c r="X217" t="s">
        <v>35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0</v>
      </c>
      <c r="AI217">
        <v>0</v>
      </c>
      <c r="AJ217">
        <v>0</v>
      </c>
    </row>
    <row r="218" spans="1:36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tr">
        <v>no</v>
      </c>
      <c r="S218" t="s">
        <v>41</v>
      </c>
      <c r="T218">
        <v>6696</v>
      </c>
      <c r="U218">
        <v>22967</v>
      </c>
      <c r="V218">
        <v>5</v>
      </c>
      <c r="W218" t="s">
        <v>42</v>
      </c>
      <c r="X218" t="s">
        <v>43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0</v>
      </c>
      <c r="AJ218">
        <v>1</v>
      </c>
    </row>
    <row r="219" spans="1:36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tr">
        <v>yes</v>
      </c>
      <c r="S219" t="s">
        <v>41</v>
      </c>
      <c r="T219">
        <v>2058</v>
      </c>
      <c r="U219">
        <v>19757</v>
      </c>
      <c r="V219">
        <v>0</v>
      </c>
      <c r="W219" t="s">
        <v>42</v>
      </c>
      <c r="X219" t="s">
        <v>43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2</v>
      </c>
      <c r="AI219">
        <v>1</v>
      </c>
      <c r="AJ219">
        <v>5</v>
      </c>
    </row>
    <row r="220" spans="1:36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tr">
        <v>yes</v>
      </c>
      <c r="S220" t="s">
        <v>41</v>
      </c>
      <c r="T220">
        <v>8865</v>
      </c>
      <c r="U220">
        <v>16840</v>
      </c>
      <c r="V220">
        <v>6</v>
      </c>
      <c r="W220" t="s">
        <v>42</v>
      </c>
      <c r="X220" t="s">
        <v>43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7</v>
      </c>
      <c r="AI220">
        <v>12</v>
      </c>
      <c r="AJ220">
        <v>8</v>
      </c>
    </row>
    <row r="221" spans="1:36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tr">
        <v>no</v>
      </c>
      <c r="S221" t="s">
        <v>48</v>
      </c>
      <c r="T221">
        <v>5940</v>
      </c>
      <c r="U221">
        <v>17011</v>
      </c>
      <c r="V221">
        <v>2</v>
      </c>
      <c r="W221" t="s">
        <v>42</v>
      </c>
      <c r="X221" t="s">
        <v>43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2</v>
      </c>
      <c r="AI221">
        <v>0</v>
      </c>
      <c r="AJ221">
        <v>5</v>
      </c>
    </row>
    <row r="222" spans="1:36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tr">
        <v>no</v>
      </c>
      <c r="S222" t="s">
        <v>41</v>
      </c>
      <c r="T222">
        <v>5914</v>
      </c>
      <c r="U222">
        <v>9945</v>
      </c>
      <c r="V222">
        <v>8</v>
      </c>
      <c r="W222" t="s">
        <v>42</v>
      </c>
      <c r="X222" t="s">
        <v>43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11</v>
      </c>
      <c r="AI222">
        <v>3</v>
      </c>
      <c r="AJ222">
        <v>7</v>
      </c>
    </row>
    <row r="223" spans="1:36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tr">
        <v>no</v>
      </c>
      <c r="S223" t="s">
        <v>48</v>
      </c>
      <c r="T223">
        <v>2622</v>
      </c>
      <c r="U223">
        <v>13248</v>
      </c>
      <c r="V223">
        <v>6</v>
      </c>
      <c r="W223" t="s">
        <v>42</v>
      </c>
      <c r="X223" t="s">
        <v>43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2</v>
      </c>
      <c r="AI223">
        <v>1</v>
      </c>
      <c r="AJ223">
        <v>1</v>
      </c>
    </row>
    <row r="224" spans="1:36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tr">
        <v>yes</v>
      </c>
      <c r="S224" t="s">
        <v>52</v>
      </c>
      <c r="T224">
        <v>12185</v>
      </c>
      <c r="U224">
        <v>10056</v>
      </c>
      <c r="V224">
        <v>1</v>
      </c>
      <c r="W224" t="s">
        <v>42</v>
      </c>
      <c r="X224" t="s">
        <v>35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8</v>
      </c>
      <c r="AI224">
        <v>0</v>
      </c>
      <c r="AJ224">
        <v>7</v>
      </c>
    </row>
    <row r="225" spans="1:36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tr">
        <v>yes</v>
      </c>
      <c r="S225" t="s">
        <v>52</v>
      </c>
      <c r="T225">
        <v>10609</v>
      </c>
      <c r="U225">
        <v>9647</v>
      </c>
      <c r="V225">
        <v>0</v>
      </c>
      <c r="W225" t="s">
        <v>42</v>
      </c>
      <c r="X225" t="s">
        <v>43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10</v>
      </c>
      <c r="AI225">
        <v>5</v>
      </c>
      <c r="AJ225">
        <v>13</v>
      </c>
    </row>
    <row r="226" spans="1:36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tr">
        <v>yes</v>
      </c>
      <c r="S226" t="s">
        <v>48</v>
      </c>
      <c r="T226">
        <v>4345</v>
      </c>
      <c r="U226">
        <v>4381</v>
      </c>
      <c r="V226">
        <v>0</v>
      </c>
      <c r="W226" t="s">
        <v>42</v>
      </c>
      <c r="X226" t="s">
        <v>43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4</v>
      </c>
      <c r="AI226">
        <v>1</v>
      </c>
      <c r="AJ226">
        <v>4</v>
      </c>
    </row>
    <row r="227" spans="1:36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tr">
        <v>yes</v>
      </c>
      <c r="S227" t="s">
        <v>48</v>
      </c>
      <c r="T227">
        <v>2177</v>
      </c>
      <c r="U227">
        <v>8456</v>
      </c>
      <c r="V227">
        <v>3</v>
      </c>
      <c r="W227" t="s">
        <v>42</v>
      </c>
      <c r="X227" t="s">
        <v>43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0</v>
      </c>
      <c r="AI227">
        <v>0</v>
      </c>
      <c r="AJ227">
        <v>0</v>
      </c>
    </row>
    <row r="228" spans="1:36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tr">
        <v>yes</v>
      </c>
      <c r="S228" t="s">
        <v>52</v>
      </c>
      <c r="T228">
        <v>2793</v>
      </c>
      <c r="U228">
        <v>2539</v>
      </c>
      <c r="V228">
        <v>4</v>
      </c>
      <c r="W228" t="s">
        <v>42</v>
      </c>
      <c r="X228" t="s">
        <v>43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8</v>
      </c>
      <c r="AI228">
        <v>5</v>
      </c>
      <c r="AJ228">
        <v>8</v>
      </c>
    </row>
    <row r="229" spans="1:36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tr">
        <v>yes</v>
      </c>
      <c r="S229" t="s">
        <v>48</v>
      </c>
      <c r="T229">
        <v>7918</v>
      </c>
      <c r="U229">
        <v>6599</v>
      </c>
      <c r="V229">
        <v>1</v>
      </c>
      <c r="W229" t="s">
        <v>42</v>
      </c>
      <c r="X229" t="s">
        <v>43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10</v>
      </c>
      <c r="AI229">
        <v>4</v>
      </c>
      <c r="AJ229">
        <v>1</v>
      </c>
    </row>
    <row r="230" spans="1:36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tr">
        <v>yes</v>
      </c>
      <c r="S230" t="s">
        <v>41</v>
      </c>
      <c r="T230">
        <v>8789</v>
      </c>
      <c r="U230">
        <v>9096</v>
      </c>
      <c r="V230">
        <v>1</v>
      </c>
      <c r="W230" t="s">
        <v>42</v>
      </c>
      <c r="X230" t="s">
        <v>43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7</v>
      </c>
      <c r="AI230">
        <v>0</v>
      </c>
      <c r="AJ230">
        <v>8</v>
      </c>
    </row>
    <row r="231" spans="1:36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tr">
        <v>yes</v>
      </c>
      <c r="S231" t="s">
        <v>41</v>
      </c>
      <c r="T231">
        <v>2389</v>
      </c>
      <c r="U231">
        <v>14961</v>
      </c>
      <c r="V231">
        <v>1</v>
      </c>
      <c r="W231" t="s">
        <v>42</v>
      </c>
      <c r="X231" t="s">
        <v>35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3</v>
      </c>
      <c r="AI231">
        <v>0</v>
      </c>
      <c r="AJ231">
        <v>1</v>
      </c>
    </row>
    <row r="232" spans="1:36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tr">
        <v>yes</v>
      </c>
      <c r="S232" t="s">
        <v>41</v>
      </c>
      <c r="T232">
        <v>3212</v>
      </c>
      <c r="U232">
        <v>3300</v>
      </c>
      <c r="V232">
        <v>7</v>
      </c>
      <c r="W232" t="s">
        <v>42</v>
      </c>
      <c r="X232" t="s">
        <v>43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2</v>
      </c>
      <c r="AI232">
        <v>2</v>
      </c>
      <c r="AJ232">
        <v>2</v>
      </c>
    </row>
    <row r="233" spans="1:36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tr">
        <v>yes</v>
      </c>
      <c r="S233" t="s">
        <v>48</v>
      </c>
      <c r="T233">
        <v>19232</v>
      </c>
      <c r="U233">
        <v>4933</v>
      </c>
      <c r="V233">
        <v>1</v>
      </c>
      <c r="W233" t="s">
        <v>42</v>
      </c>
      <c r="X233" t="s">
        <v>43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17</v>
      </c>
      <c r="AI233">
        <v>11</v>
      </c>
      <c r="AJ233">
        <v>15</v>
      </c>
    </row>
    <row r="234" spans="1:36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tr">
        <v>yes</v>
      </c>
      <c r="S234" t="s">
        <v>48</v>
      </c>
      <c r="T234">
        <v>2267</v>
      </c>
      <c r="U234">
        <v>25657</v>
      </c>
      <c r="V234">
        <v>8</v>
      </c>
      <c r="W234" t="s">
        <v>42</v>
      </c>
      <c r="X234" t="s">
        <v>43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</row>
    <row r="235" spans="1:36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tr">
        <v>yes</v>
      </c>
      <c r="S235" t="s">
        <v>52</v>
      </c>
      <c r="T235">
        <v>19517</v>
      </c>
      <c r="U235">
        <v>24118</v>
      </c>
      <c r="V235">
        <v>3</v>
      </c>
      <c r="W235" t="s">
        <v>42</v>
      </c>
      <c r="X235" t="s">
        <v>43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0</v>
      </c>
      <c r="AI235">
        <v>0</v>
      </c>
      <c r="AJ235">
        <v>6</v>
      </c>
    </row>
    <row r="236" spans="1:36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tr">
        <v>yes</v>
      </c>
      <c r="S236" t="s">
        <v>48</v>
      </c>
      <c r="T236">
        <v>2436</v>
      </c>
      <c r="U236">
        <v>22149</v>
      </c>
      <c r="V236">
        <v>5</v>
      </c>
      <c r="W236" t="s">
        <v>42</v>
      </c>
      <c r="X236" t="s">
        <v>35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4</v>
      </c>
      <c r="AI236">
        <v>0</v>
      </c>
      <c r="AJ236">
        <v>4</v>
      </c>
    </row>
    <row r="237" spans="1:36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tr">
        <v>yes</v>
      </c>
      <c r="S237" t="s">
        <v>48</v>
      </c>
      <c r="T237">
        <v>16064</v>
      </c>
      <c r="U237">
        <v>7744</v>
      </c>
      <c r="V237">
        <v>5</v>
      </c>
      <c r="W237" t="s">
        <v>42</v>
      </c>
      <c r="X237" t="s">
        <v>35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13</v>
      </c>
      <c r="AI237">
        <v>1</v>
      </c>
      <c r="AJ237">
        <v>9</v>
      </c>
    </row>
    <row r="238" spans="1:36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tr">
        <v>no</v>
      </c>
      <c r="S238" t="s">
        <v>48</v>
      </c>
      <c r="T238">
        <v>2707</v>
      </c>
      <c r="U238">
        <v>21509</v>
      </c>
      <c r="V238">
        <v>7</v>
      </c>
      <c r="W238" t="s">
        <v>42</v>
      </c>
      <c r="X238" t="s">
        <v>43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7</v>
      </c>
      <c r="AI238">
        <v>1</v>
      </c>
      <c r="AJ238">
        <v>7</v>
      </c>
    </row>
    <row r="239" spans="1:36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tr">
        <v>yes</v>
      </c>
      <c r="S239" t="s">
        <v>41</v>
      </c>
      <c r="T239">
        <v>19068</v>
      </c>
      <c r="U239">
        <v>21030</v>
      </c>
      <c r="V239">
        <v>1</v>
      </c>
      <c r="W239" t="s">
        <v>42</v>
      </c>
      <c r="X239" t="s">
        <v>35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7</v>
      </c>
      <c r="AI239">
        <v>15</v>
      </c>
      <c r="AJ239">
        <v>12</v>
      </c>
    </row>
    <row r="240" spans="1:36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tr">
        <v>no</v>
      </c>
      <c r="S240" t="s">
        <v>48</v>
      </c>
      <c r="T240">
        <v>3931</v>
      </c>
      <c r="U240">
        <v>20990</v>
      </c>
      <c r="V240">
        <v>2</v>
      </c>
      <c r="W240" t="s">
        <v>42</v>
      </c>
      <c r="X240" t="s">
        <v>43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3</v>
      </c>
      <c r="AI240">
        <v>1</v>
      </c>
      <c r="AJ240">
        <v>2</v>
      </c>
    </row>
    <row r="241" spans="1:36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tr">
        <v>yes</v>
      </c>
      <c r="S241" t="s">
        <v>41</v>
      </c>
      <c r="T241">
        <v>3730</v>
      </c>
      <c r="U241">
        <v>9571</v>
      </c>
      <c r="V241">
        <v>0</v>
      </c>
      <c r="W241" t="s">
        <v>42</v>
      </c>
      <c r="X241" t="s">
        <v>35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2</v>
      </c>
      <c r="AI241">
        <v>1</v>
      </c>
      <c r="AJ241">
        <v>2</v>
      </c>
    </row>
    <row r="242" spans="1:36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tr">
        <v>yes</v>
      </c>
      <c r="S242" t="s">
        <v>52</v>
      </c>
      <c r="T242">
        <v>2232</v>
      </c>
      <c r="U242">
        <v>15417</v>
      </c>
      <c r="V242">
        <v>7</v>
      </c>
      <c r="W242" t="s">
        <v>42</v>
      </c>
      <c r="X242" t="s">
        <v>43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2</v>
      </c>
      <c r="AI242">
        <v>1</v>
      </c>
      <c r="AJ242">
        <v>2</v>
      </c>
    </row>
    <row r="243" spans="1:36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tr">
        <v>yes</v>
      </c>
      <c r="S243" t="s">
        <v>48</v>
      </c>
      <c r="T243">
        <v>4465</v>
      </c>
      <c r="U243">
        <v>12069</v>
      </c>
      <c r="V243">
        <v>0</v>
      </c>
      <c r="W243" t="s">
        <v>42</v>
      </c>
      <c r="X243" t="s">
        <v>43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2</v>
      </c>
      <c r="AI243">
        <v>2</v>
      </c>
      <c r="AJ243">
        <v>2</v>
      </c>
    </row>
    <row r="244" spans="1:36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tr">
        <v>no</v>
      </c>
      <c r="S244" t="s">
        <v>52</v>
      </c>
      <c r="T244">
        <v>3072</v>
      </c>
      <c r="U244">
        <v>19877</v>
      </c>
      <c r="V244">
        <v>2</v>
      </c>
      <c r="W244" t="s">
        <v>42</v>
      </c>
      <c r="X244" t="s">
        <v>43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0</v>
      </c>
      <c r="AI244">
        <v>0</v>
      </c>
      <c r="AJ244">
        <v>0</v>
      </c>
    </row>
    <row r="245" spans="1:36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tr">
        <v>yes</v>
      </c>
      <c r="S245" t="s">
        <v>52</v>
      </c>
      <c r="T245">
        <v>3319</v>
      </c>
      <c r="U245">
        <v>24447</v>
      </c>
      <c r="V245">
        <v>1</v>
      </c>
      <c r="W245" t="s">
        <v>42</v>
      </c>
      <c r="X245" t="s">
        <v>43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8</v>
      </c>
      <c r="AI245">
        <v>4</v>
      </c>
      <c r="AJ245">
        <v>7</v>
      </c>
    </row>
    <row r="246" spans="1:36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tr">
        <v>yes</v>
      </c>
      <c r="S246" t="s">
        <v>48</v>
      </c>
      <c r="T246">
        <v>19202</v>
      </c>
      <c r="U246">
        <v>15970</v>
      </c>
      <c r="V246">
        <v>0</v>
      </c>
      <c r="W246" t="s">
        <v>42</v>
      </c>
      <c r="X246" t="s">
        <v>43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0</v>
      </c>
      <c r="AI246">
        <v>1</v>
      </c>
      <c r="AJ246">
        <v>7</v>
      </c>
    </row>
    <row r="247" spans="1:36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tr">
        <v>yes</v>
      </c>
      <c r="S247" t="s">
        <v>52</v>
      </c>
      <c r="T247">
        <v>13675</v>
      </c>
      <c r="U247">
        <v>13523</v>
      </c>
      <c r="V247">
        <v>9</v>
      </c>
      <c r="W247" t="s">
        <v>42</v>
      </c>
      <c r="X247" t="s">
        <v>43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2</v>
      </c>
      <c r="AI247">
        <v>2</v>
      </c>
      <c r="AJ247">
        <v>2</v>
      </c>
    </row>
    <row r="248" spans="1:36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tr">
        <v>yes</v>
      </c>
      <c r="S248" t="s">
        <v>48</v>
      </c>
      <c r="T248">
        <v>2911</v>
      </c>
      <c r="U248">
        <v>14776</v>
      </c>
      <c r="V248">
        <v>1</v>
      </c>
      <c r="W248" t="s">
        <v>42</v>
      </c>
      <c r="X248" t="s">
        <v>43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0</v>
      </c>
      <c r="AJ248">
        <v>2</v>
      </c>
    </row>
    <row r="249" spans="1:36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tr">
        <v>no</v>
      </c>
      <c r="S249" t="s">
        <v>48</v>
      </c>
      <c r="T249">
        <v>5957</v>
      </c>
      <c r="U249">
        <v>23687</v>
      </c>
      <c r="V249">
        <v>6</v>
      </c>
      <c r="W249" t="s">
        <v>42</v>
      </c>
      <c r="X249" t="s">
        <v>43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9</v>
      </c>
      <c r="AI249">
        <v>5</v>
      </c>
      <c r="AJ249">
        <v>9</v>
      </c>
    </row>
    <row r="250" spans="1:36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tr">
        <v>no</v>
      </c>
      <c r="S250" t="s">
        <v>48</v>
      </c>
      <c r="T250">
        <v>3920</v>
      </c>
      <c r="U250">
        <v>18697</v>
      </c>
      <c r="V250">
        <v>2</v>
      </c>
      <c r="W250" t="s">
        <v>42</v>
      </c>
      <c r="X250" t="s">
        <v>43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</v>
      </c>
      <c r="AI250">
        <v>0</v>
      </c>
      <c r="AJ250">
        <v>2</v>
      </c>
    </row>
    <row r="251" spans="1:36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tr">
        <v>yes</v>
      </c>
      <c r="S251" t="s">
        <v>48</v>
      </c>
      <c r="T251">
        <v>6434</v>
      </c>
      <c r="U251">
        <v>5118</v>
      </c>
      <c r="V251">
        <v>4</v>
      </c>
      <c r="W251" t="s">
        <v>42</v>
      </c>
      <c r="X251" t="s">
        <v>43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2</v>
      </c>
      <c r="AI251">
        <v>0</v>
      </c>
      <c r="AJ251">
        <v>2</v>
      </c>
    </row>
    <row r="252" spans="1:36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tr">
        <v>yes</v>
      </c>
      <c r="S252" t="s">
        <v>52</v>
      </c>
      <c r="T252">
        <v>10048</v>
      </c>
      <c r="U252">
        <v>22573</v>
      </c>
      <c r="V252">
        <v>6</v>
      </c>
      <c r="W252" t="s">
        <v>42</v>
      </c>
      <c r="X252" t="s">
        <v>43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0</v>
      </c>
      <c r="AI252">
        <v>0</v>
      </c>
      <c r="AJ252">
        <v>0</v>
      </c>
    </row>
    <row r="253" spans="1:36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tr">
        <v>yes</v>
      </c>
      <c r="S253" t="s">
        <v>41</v>
      </c>
      <c r="T253">
        <v>10938</v>
      </c>
      <c r="U253">
        <v>6420</v>
      </c>
      <c r="V253">
        <v>0</v>
      </c>
      <c r="W253" t="s">
        <v>42</v>
      </c>
      <c r="X253" t="s">
        <v>43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6</v>
      </c>
      <c r="AI253">
        <v>11</v>
      </c>
      <c r="AJ253">
        <v>8</v>
      </c>
    </row>
    <row r="254" spans="1:36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tr">
        <v>yes</v>
      </c>
      <c r="S254" t="s">
        <v>41</v>
      </c>
      <c r="T254">
        <v>2340</v>
      </c>
      <c r="U254">
        <v>22673</v>
      </c>
      <c r="V254">
        <v>1</v>
      </c>
      <c r="W254" t="s">
        <v>42</v>
      </c>
      <c r="X254" t="s">
        <v>43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5</v>
      </c>
      <c r="AI254">
        <v>1</v>
      </c>
      <c r="AJ254">
        <v>5</v>
      </c>
    </row>
    <row r="255" spans="1:36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tr">
        <v>no</v>
      </c>
      <c r="S255" t="s">
        <v>41</v>
      </c>
      <c r="T255">
        <v>6545</v>
      </c>
      <c r="U255">
        <v>23016</v>
      </c>
      <c r="V255">
        <v>3</v>
      </c>
      <c r="W255" t="s">
        <v>42</v>
      </c>
      <c r="X255" t="s">
        <v>35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2</v>
      </c>
      <c r="AI255">
        <v>0</v>
      </c>
      <c r="AJ255">
        <v>2</v>
      </c>
    </row>
    <row r="256" spans="1:36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tr">
        <v>yes</v>
      </c>
      <c r="S256" t="s">
        <v>52</v>
      </c>
      <c r="T256">
        <v>6931</v>
      </c>
      <c r="U256">
        <v>10732</v>
      </c>
      <c r="V256">
        <v>2</v>
      </c>
      <c r="W256" t="s">
        <v>42</v>
      </c>
      <c r="X256" t="s">
        <v>43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2</v>
      </c>
      <c r="AI256">
        <v>0</v>
      </c>
      <c r="AJ256">
        <v>2</v>
      </c>
    </row>
    <row r="257" spans="1:36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tr">
        <v>yes</v>
      </c>
      <c r="S257" t="s">
        <v>48</v>
      </c>
      <c r="T257">
        <v>4898</v>
      </c>
      <c r="U257">
        <v>7505</v>
      </c>
      <c r="V257">
        <v>0</v>
      </c>
      <c r="W257" t="s">
        <v>42</v>
      </c>
      <c r="X257" t="s">
        <v>43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2</v>
      </c>
      <c r="AI257">
        <v>1</v>
      </c>
      <c r="AJ257">
        <v>2</v>
      </c>
    </row>
    <row r="258" spans="1:36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tr">
        <v>no</v>
      </c>
      <c r="S258" t="s">
        <v>52</v>
      </c>
      <c r="T258">
        <v>2593</v>
      </c>
      <c r="U258">
        <v>8007</v>
      </c>
      <c r="V258">
        <v>0</v>
      </c>
      <c r="W258" t="s">
        <v>42</v>
      </c>
      <c r="X258" t="s">
        <v>35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6</v>
      </c>
      <c r="AI258">
        <v>7</v>
      </c>
      <c r="AJ258">
        <v>8</v>
      </c>
    </row>
    <row r="259" spans="1:36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tr">
        <v>yes</v>
      </c>
      <c r="S259" t="s">
        <v>52</v>
      </c>
      <c r="T259">
        <v>19436</v>
      </c>
      <c r="U259">
        <v>5949</v>
      </c>
      <c r="V259">
        <v>0</v>
      </c>
      <c r="W259" t="s">
        <v>42</v>
      </c>
      <c r="X259" t="s">
        <v>43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7</v>
      </c>
      <c r="AI259">
        <v>3</v>
      </c>
      <c r="AJ259">
        <v>9</v>
      </c>
    </row>
    <row r="260" spans="1:36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tr">
        <v>yes</v>
      </c>
      <c r="S260" t="s">
        <v>48</v>
      </c>
      <c r="T260">
        <v>2723</v>
      </c>
      <c r="U260">
        <v>23231</v>
      </c>
      <c r="V260">
        <v>1</v>
      </c>
      <c r="W260" t="s">
        <v>42</v>
      </c>
      <c r="X260" t="s">
        <v>43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</row>
    <row r="261" spans="1:36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tr">
        <v>no</v>
      </c>
      <c r="S261" t="s">
        <v>41</v>
      </c>
      <c r="T261">
        <v>3479</v>
      </c>
      <c r="U261">
        <v>11652</v>
      </c>
      <c r="V261">
        <v>0</v>
      </c>
      <c r="W261" t="s">
        <v>42</v>
      </c>
      <c r="X261" t="s">
        <v>43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4</v>
      </c>
      <c r="AI261">
        <v>1</v>
      </c>
      <c r="AJ261">
        <v>4</v>
      </c>
    </row>
    <row r="262" spans="1:36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tr">
        <v>no</v>
      </c>
      <c r="S262" t="s">
        <v>48</v>
      </c>
      <c r="T262">
        <v>2794</v>
      </c>
      <c r="U262">
        <v>26062</v>
      </c>
      <c r="V262">
        <v>1</v>
      </c>
      <c r="W262" t="s">
        <v>42</v>
      </c>
      <c r="X262" t="s">
        <v>43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1</v>
      </c>
      <c r="AI262">
        <v>0</v>
      </c>
      <c r="AJ262">
        <v>3</v>
      </c>
    </row>
    <row r="263" spans="1:36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tr">
        <v>yes</v>
      </c>
      <c r="S263" t="s">
        <v>48</v>
      </c>
      <c r="T263">
        <v>5249</v>
      </c>
      <c r="U263">
        <v>19682</v>
      </c>
      <c r="V263">
        <v>3</v>
      </c>
      <c r="W263" t="s">
        <v>42</v>
      </c>
      <c r="X263" t="s">
        <v>43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7</v>
      </c>
      <c r="AI263">
        <v>7</v>
      </c>
      <c r="AJ263">
        <v>5</v>
      </c>
    </row>
    <row r="264" spans="1:36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tr">
        <v>no</v>
      </c>
      <c r="S264" t="s">
        <v>41</v>
      </c>
      <c r="T264">
        <v>2176</v>
      </c>
      <c r="U264">
        <v>19737</v>
      </c>
      <c r="V264">
        <v>4</v>
      </c>
      <c r="W264" t="s">
        <v>42</v>
      </c>
      <c r="X264" t="s">
        <v>43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2</v>
      </c>
      <c r="AI264">
        <v>0</v>
      </c>
      <c r="AJ264">
        <v>4</v>
      </c>
    </row>
    <row r="265" spans="1:36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tr">
        <v>no</v>
      </c>
      <c r="S265" t="s">
        <v>48</v>
      </c>
      <c r="T265">
        <v>16872</v>
      </c>
      <c r="U265">
        <v>14977</v>
      </c>
      <c r="V265">
        <v>3</v>
      </c>
      <c r="W265" t="s">
        <v>42</v>
      </c>
      <c r="X265" t="s">
        <v>35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7</v>
      </c>
      <c r="AI265">
        <v>7</v>
      </c>
      <c r="AJ265">
        <v>7</v>
      </c>
    </row>
    <row r="266" spans="1:36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tr">
        <v>yes</v>
      </c>
      <c r="S266" t="s">
        <v>41</v>
      </c>
      <c r="T266">
        <v>3485</v>
      </c>
      <c r="U266">
        <v>14935</v>
      </c>
      <c r="V266">
        <v>2</v>
      </c>
      <c r="W266" t="s">
        <v>42</v>
      </c>
      <c r="X266" t="s">
        <v>43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tr">
        <v>no</v>
      </c>
      <c r="S267" t="s">
        <v>48</v>
      </c>
      <c r="T267">
        <v>6644</v>
      </c>
      <c r="U267">
        <v>3687</v>
      </c>
      <c r="V267">
        <v>2</v>
      </c>
      <c r="W267" t="s">
        <v>42</v>
      </c>
      <c r="X267" t="s">
        <v>43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0</v>
      </c>
      <c r="AI267">
        <v>0</v>
      </c>
      <c r="AJ267">
        <v>0</v>
      </c>
    </row>
    <row r="268" spans="1:36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tr">
        <v>yes</v>
      </c>
      <c r="S268" t="s">
        <v>48</v>
      </c>
      <c r="T268">
        <v>5582</v>
      </c>
      <c r="U268">
        <v>14408</v>
      </c>
      <c r="V268">
        <v>0</v>
      </c>
      <c r="W268" t="s">
        <v>42</v>
      </c>
      <c r="X268" t="s">
        <v>43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0</v>
      </c>
      <c r="AI268">
        <v>7</v>
      </c>
      <c r="AJ268">
        <v>8</v>
      </c>
    </row>
    <row r="269" spans="1:36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tr">
        <v>no</v>
      </c>
      <c r="S269" t="s">
        <v>52</v>
      </c>
      <c r="T269">
        <v>4000</v>
      </c>
      <c r="U269">
        <v>18384</v>
      </c>
      <c r="V269">
        <v>1</v>
      </c>
      <c r="W269" t="s">
        <v>42</v>
      </c>
      <c r="X269" t="s">
        <v>43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3</v>
      </c>
      <c r="AI269">
        <v>1</v>
      </c>
      <c r="AJ269">
        <v>5</v>
      </c>
    </row>
    <row r="270" spans="1:36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tr">
        <v>yes</v>
      </c>
      <c r="S270" t="s">
        <v>48</v>
      </c>
      <c r="T270">
        <v>13496</v>
      </c>
      <c r="U270">
        <v>7501</v>
      </c>
      <c r="V270">
        <v>0</v>
      </c>
      <c r="W270" t="s">
        <v>42</v>
      </c>
      <c r="X270" t="s">
        <v>35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7</v>
      </c>
      <c r="AI270">
        <v>4</v>
      </c>
      <c r="AJ270">
        <v>10</v>
      </c>
    </row>
    <row r="271" spans="1:36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tr">
        <v>yes</v>
      </c>
      <c r="S271" t="s">
        <v>48</v>
      </c>
      <c r="T271">
        <v>3210</v>
      </c>
      <c r="U271">
        <v>20251</v>
      </c>
      <c r="V271">
        <v>0</v>
      </c>
      <c r="W271" t="s">
        <v>42</v>
      </c>
      <c r="X271" t="s">
        <v>43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13</v>
      </c>
      <c r="AI271">
        <v>10</v>
      </c>
      <c r="AJ271">
        <v>11</v>
      </c>
    </row>
    <row r="272" spans="1:36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tr">
        <v>no</v>
      </c>
      <c r="S272" t="s">
        <v>41</v>
      </c>
      <c r="T272">
        <v>19045</v>
      </c>
      <c r="U272">
        <v>18938</v>
      </c>
      <c r="V272">
        <v>0</v>
      </c>
      <c r="W272" t="s">
        <v>42</v>
      </c>
      <c r="X272" t="s">
        <v>35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10</v>
      </c>
      <c r="AI272">
        <v>4</v>
      </c>
      <c r="AJ272">
        <v>13</v>
      </c>
    </row>
    <row r="273" spans="1:36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tr">
        <v>no</v>
      </c>
      <c r="S273" t="s">
        <v>48</v>
      </c>
      <c r="T273">
        <v>11849</v>
      </c>
      <c r="U273">
        <v>10268</v>
      </c>
      <c r="V273">
        <v>1</v>
      </c>
      <c r="W273" t="s">
        <v>42</v>
      </c>
      <c r="X273" t="s">
        <v>35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7</v>
      </c>
      <c r="AI273">
        <v>9</v>
      </c>
      <c r="AJ273">
        <v>9</v>
      </c>
    </row>
    <row r="274" spans="1:36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tr">
        <v>yes</v>
      </c>
      <c r="S274" t="s">
        <v>48</v>
      </c>
      <c r="T274">
        <v>2070</v>
      </c>
      <c r="U274">
        <v>2613</v>
      </c>
      <c r="V274">
        <v>1</v>
      </c>
      <c r="W274" t="s">
        <v>42</v>
      </c>
      <c r="X274" t="s">
        <v>43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2</v>
      </c>
      <c r="AI274">
        <v>0</v>
      </c>
      <c r="AJ274">
        <v>4</v>
      </c>
    </row>
    <row r="275" spans="1:36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tr">
        <v>yes</v>
      </c>
      <c r="S275" t="s">
        <v>48</v>
      </c>
      <c r="T275">
        <v>6502</v>
      </c>
      <c r="U275">
        <v>22825</v>
      </c>
      <c r="V275">
        <v>4</v>
      </c>
      <c r="W275" t="s">
        <v>42</v>
      </c>
      <c r="X275" t="s">
        <v>43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4</v>
      </c>
      <c r="AI275">
        <v>0</v>
      </c>
      <c r="AJ275">
        <v>1</v>
      </c>
    </row>
    <row r="276" spans="1:36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tr">
        <v>yes</v>
      </c>
      <c r="S276" t="s">
        <v>41</v>
      </c>
      <c r="T276">
        <v>3230</v>
      </c>
      <c r="U276">
        <v>10531</v>
      </c>
      <c r="V276">
        <v>1</v>
      </c>
      <c r="W276" t="s">
        <v>42</v>
      </c>
      <c r="X276" t="s">
        <v>43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2</v>
      </c>
      <c r="AI276">
        <v>1</v>
      </c>
      <c r="AJ276">
        <v>0</v>
      </c>
    </row>
    <row r="277" spans="1:36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tr">
        <v>yes</v>
      </c>
      <c r="S277" t="s">
        <v>52</v>
      </c>
      <c r="T277">
        <v>13603</v>
      </c>
      <c r="U277">
        <v>11677</v>
      </c>
      <c r="V277">
        <v>2</v>
      </c>
      <c r="W277" t="s">
        <v>42</v>
      </c>
      <c r="X277" t="s">
        <v>35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2</v>
      </c>
      <c r="AI277">
        <v>0</v>
      </c>
      <c r="AJ277">
        <v>2</v>
      </c>
    </row>
    <row r="278" spans="1:36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tr">
        <v>no</v>
      </c>
      <c r="S278" t="s">
        <v>52</v>
      </c>
      <c r="T278">
        <v>11996</v>
      </c>
      <c r="U278">
        <v>19100</v>
      </c>
      <c r="V278">
        <v>7</v>
      </c>
      <c r="W278" t="s">
        <v>42</v>
      </c>
      <c r="X278" t="s">
        <v>43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7</v>
      </c>
      <c r="AI278">
        <v>6</v>
      </c>
      <c r="AJ278">
        <v>2</v>
      </c>
    </row>
    <row r="279" spans="1:36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tr">
        <v>no</v>
      </c>
      <c r="S279" t="s">
        <v>52</v>
      </c>
      <c r="T279">
        <v>5605</v>
      </c>
      <c r="U279">
        <v>19191</v>
      </c>
      <c r="V279">
        <v>1</v>
      </c>
      <c r="W279" t="s">
        <v>42</v>
      </c>
      <c r="X279" t="s">
        <v>35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7</v>
      </c>
      <c r="AJ279">
        <v>7</v>
      </c>
    </row>
    <row r="280" spans="1:36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tr">
        <v>no</v>
      </c>
      <c r="S280" t="s">
        <v>52</v>
      </c>
      <c r="T280">
        <v>6397</v>
      </c>
      <c r="U280">
        <v>26767</v>
      </c>
      <c r="V280">
        <v>1</v>
      </c>
      <c r="W280" t="s">
        <v>42</v>
      </c>
      <c r="X280" t="s">
        <v>43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5</v>
      </c>
      <c r="AI280">
        <v>1</v>
      </c>
      <c r="AJ280">
        <v>4</v>
      </c>
    </row>
    <row r="281" spans="1:36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tr">
        <v>no</v>
      </c>
      <c r="S281" t="s">
        <v>52</v>
      </c>
      <c r="T281">
        <v>19144</v>
      </c>
      <c r="U281">
        <v>15815</v>
      </c>
      <c r="V281">
        <v>3</v>
      </c>
      <c r="W281" t="s">
        <v>42</v>
      </c>
      <c r="X281" t="s">
        <v>43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4</v>
      </c>
      <c r="AI281">
        <v>1</v>
      </c>
      <c r="AJ281">
        <v>6</v>
      </c>
    </row>
    <row r="282" spans="1:36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tr">
        <v>yes</v>
      </c>
      <c r="S282" t="s">
        <v>48</v>
      </c>
      <c r="T282">
        <v>17584</v>
      </c>
      <c r="U282">
        <v>21016</v>
      </c>
      <c r="V282">
        <v>3</v>
      </c>
      <c r="W282" t="s">
        <v>42</v>
      </c>
      <c r="X282" t="s">
        <v>35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3</v>
      </c>
      <c r="AI282">
        <v>1</v>
      </c>
      <c r="AJ282">
        <v>3</v>
      </c>
    </row>
    <row r="283" spans="1:36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tr">
        <v>yes</v>
      </c>
      <c r="S283" t="s">
        <v>48</v>
      </c>
      <c r="T283">
        <v>4907</v>
      </c>
      <c r="U283">
        <v>24532</v>
      </c>
      <c r="V283">
        <v>1</v>
      </c>
      <c r="W283" t="s">
        <v>42</v>
      </c>
      <c r="X283" t="s">
        <v>43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16</v>
      </c>
      <c r="AI283">
        <v>11</v>
      </c>
      <c r="AJ283">
        <v>6</v>
      </c>
    </row>
    <row r="284" spans="1:36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tr">
        <v>yes</v>
      </c>
      <c r="S284" t="s">
        <v>41</v>
      </c>
      <c r="T284">
        <v>4554</v>
      </c>
      <c r="U284">
        <v>20260</v>
      </c>
      <c r="V284">
        <v>1</v>
      </c>
      <c r="W284" t="s">
        <v>42</v>
      </c>
      <c r="X284" t="s">
        <v>43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7</v>
      </c>
      <c r="AI284">
        <v>0</v>
      </c>
      <c r="AJ284">
        <v>9</v>
      </c>
    </row>
    <row r="285" spans="1:36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tr">
        <v>yes</v>
      </c>
      <c r="S285" t="s">
        <v>48</v>
      </c>
      <c r="T285">
        <v>5415</v>
      </c>
      <c r="U285">
        <v>15972</v>
      </c>
      <c r="V285">
        <v>3</v>
      </c>
      <c r="W285" t="s">
        <v>42</v>
      </c>
      <c r="X285" t="s">
        <v>35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7</v>
      </c>
      <c r="AI285">
        <v>0</v>
      </c>
      <c r="AJ285">
        <v>8</v>
      </c>
    </row>
    <row r="286" spans="1:36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tr">
        <v>no</v>
      </c>
      <c r="S286" t="s">
        <v>48</v>
      </c>
      <c r="T286">
        <v>4741</v>
      </c>
      <c r="U286">
        <v>22722</v>
      </c>
      <c r="V286">
        <v>1</v>
      </c>
      <c r="W286" t="s">
        <v>42</v>
      </c>
      <c r="X286" t="s">
        <v>35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3</v>
      </c>
      <c r="AI286">
        <v>3</v>
      </c>
      <c r="AJ286">
        <v>3</v>
      </c>
    </row>
    <row r="287" spans="1:36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tr">
        <v>yes</v>
      </c>
      <c r="S287" t="s">
        <v>41</v>
      </c>
      <c r="T287">
        <v>2115</v>
      </c>
      <c r="U287">
        <v>15881</v>
      </c>
      <c r="V287">
        <v>1</v>
      </c>
      <c r="W287" t="s">
        <v>42</v>
      </c>
      <c r="X287" t="s">
        <v>43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12</v>
      </c>
      <c r="AI287">
        <v>5</v>
      </c>
      <c r="AJ287">
        <v>7</v>
      </c>
    </row>
    <row r="288" spans="1:36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tr">
        <v>yes</v>
      </c>
      <c r="S288" t="s">
        <v>52</v>
      </c>
      <c r="T288">
        <v>3161</v>
      </c>
      <c r="U288">
        <v>19920</v>
      </c>
      <c r="V288">
        <v>3</v>
      </c>
      <c r="W288" t="s">
        <v>42</v>
      </c>
      <c r="X288" t="s">
        <v>35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0</v>
      </c>
      <c r="AI288">
        <v>0</v>
      </c>
      <c r="AJ288">
        <v>0</v>
      </c>
    </row>
    <row r="289" spans="1:36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tr">
        <v>yes</v>
      </c>
      <c r="S289" t="s">
        <v>52</v>
      </c>
      <c r="T289">
        <v>5745</v>
      </c>
      <c r="U289">
        <v>18899</v>
      </c>
      <c r="V289">
        <v>9</v>
      </c>
      <c r="W289" t="s">
        <v>42</v>
      </c>
      <c r="X289" t="s">
        <v>43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2</v>
      </c>
      <c r="AI289">
        <v>1</v>
      </c>
      <c r="AJ289">
        <v>2</v>
      </c>
    </row>
    <row r="290" spans="1:36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tr">
        <v>no</v>
      </c>
      <c r="S290" t="s">
        <v>52</v>
      </c>
      <c r="T290">
        <v>2373</v>
      </c>
      <c r="U290">
        <v>14180</v>
      </c>
      <c r="V290">
        <v>2</v>
      </c>
      <c r="W290" t="s">
        <v>42</v>
      </c>
      <c r="X290" t="s">
        <v>35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0</v>
      </c>
      <c r="AJ290">
        <v>2</v>
      </c>
    </row>
    <row r="291" spans="1:36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tr">
        <v>yes</v>
      </c>
      <c r="S291" t="s">
        <v>41</v>
      </c>
      <c r="T291">
        <v>3310</v>
      </c>
      <c r="U291">
        <v>4488</v>
      </c>
      <c r="V291">
        <v>1</v>
      </c>
      <c r="W291" t="s">
        <v>42</v>
      </c>
      <c r="X291" t="s">
        <v>43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3</v>
      </c>
      <c r="AI291">
        <v>0</v>
      </c>
      <c r="AJ291">
        <v>2</v>
      </c>
    </row>
    <row r="292" spans="1:36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tr">
        <v>no</v>
      </c>
      <c r="S292" t="s">
        <v>41</v>
      </c>
      <c r="T292">
        <v>18665</v>
      </c>
      <c r="U292">
        <v>25594</v>
      </c>
      <c r="V292">
        <v>9</v>
      </c>
      <c r="W292" t="s">
        <v>42</v>
      </c>
      <c r="X292" t="s">
        <v>35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2</v>
      </c>
      <c r="AI292">
        <v>1</v>
      </c>
      <c r="AJ292">
        <v>2</v>
      </c>
    </row>
    <row r="293" spans="1:36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tr">
        <v>no</v>
      </c>
      <c r="S293" t="s">
        <v>41</v>
      </c>
      <c r="T293">
        <v>4485</v>
      </c>
      <c r="U293">
        <v>26285</v>
      </c>
      <c r="V293">
        <v>4</v>
      </c>
      <c r="W293" t="s">
        <v>42</v>
      </c>
      <c r="X293" t="s">
        <v>43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0</v>
      </c>
      <c r="AI293">
        <v>7</v>
      </c>
      <c r="AJ293">
        <v>7</v>
      </c>
    </row>
    <row r="294" spans="1:36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tr">
        <v>no</v>
      </c>
      <c r="S294" t="s">
        <v>52</v>
      </c>
      <c r="T294">
        <v>2789</v>
      </c>
      <c r="U294">
        <v>3909</v>
      </c>
      <c r="V294">
        <v>1</v>
      </c>
      <c r="W294" t="s">
        <v>42</v>
      </c>
      <c r="X294" t="s">
        <v>43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2</v>
      </c>
      <c r="AI294">
        <v>2</v>
      </c>
      <c r="AJ294">
        <v>2</v>
      </c>
    </row>
    <row r="295" spans="1:36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tr">
        <v>yes</v>
      </c>
      <c r="S295" t="s">
        <v>41</v>
      </c>
      <c r="T295">
        <v>5828</v>
      </c>
      <c r="U295">
        <v>8450</v>
      </c>
      <c r="V295">
        <v>1</v>
      </c>
      <c r="W295" t="s">
        <v>42</v>
      </c>
      <c r="X295" t="s">
        <v>35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7</v>
      </c>
      <c r="AI295">
        <v>7</v>
      </c>
      <c r="AJ295">
        <v>4</v>
      </c>
    </row>
    <row r="296" spans="1:36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tr">
        <v>yes</v>
      </c>
      <c r="S296" t="s">
        <v>48</v>
      </c>
      <c r="T296">
        <v>2326</v>
      </c>
      <c r="U296">
        <v>11411</v>
      </c>
      <c r="V296">
        <v>1</v>
      </c>
      <c r="W296" t="s">
        <v>42</v>
      </c>
      <c r="X296" t="s">
        <v>35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2</v>
      </c>
      <c r="AI296">
        <v>1</v>
      </c>
      <c r="AJ296">
        <v>2</v>
      </c>
    </row>
    <row r="297" spans="1:36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tr">
        <v>no</v>
      </c>
      <c r="S297" t="s">
        <v>48</v>
      </c>
      <c r="T297">
        <v>13525</v>
      </c>
      <c r="U297">
        <v>14864</v>
      </c>
      <c r="V297">
        <v>5</v>
      </c>
      <c r="W297" t="s">
        <v>42</v>
      </c>
      <c r="X297" t="s">
        <v>43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4</v>
      </c>
      <c r="AI297">
        <v>4</v>
      </c>
      <c r="AJ297">
        <v>8</v>
      </c>
    </row>
    <row r="298" spans="1:36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tr">
        <v>yes</v>
      </c>
      <c r="S298" t="s">
        <v>41</v>
      </c>
      <c r="T298">
        <v>1420</v>
      </c>
      <c r="U298">
        <v>25233</v>
      </c>
      <c r="V298">
        <v>1</v>
      </c>
      <c r="W298" t="s">
        <v>42</v>
      </c>
      <c r="X298" t="s">
        <v>43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</row>
    <row r="299" spans="1:36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tr">
        <v>no</v>
      </c>
      <c r="S299" t="s">
        <v>48</v>
      </c>
      <c r="T299">
        <v>8020</v>
      </c>
      <c r="U299">
        <v>5100</v>
      </c>
      <c r="V299">
        <v>0</v>
      </c>
      <c r="W299" t="s">
        <v>42</v>
      </c>
      <c r="X299" t="s">
        <v>43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9</v>
      </c>
      <c r="AI299">
        <v>6</v>
      </c>
      <c r="AJ299">
        <v>9</v>
      </c>
    </row>
    <row r="300" spans="1:36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tr">
        <v>yes</v>
      </c>
      <c r="S300" t="s">
        <v>48</v>
      </c>
      <c r="T300">
        <v>3688</v>
      </c>
      <c r="U300">
        <v>7122</v>
      </c>
      <c r="V300">
        <v>4</v>
      </c>
      <c r="W300" t="s">
        <v>42</v>
      </c>
      <c r="X300" t="s">
        <v>43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0</v>
      </c>
      <c r="AI300">
        <v>0</v>
      </c>
      <c r="AJ300">
        <v>0</v>
      </c>
    </row>
    <row r="301" spans="1:36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tr">
        <v>no</v>
      </c>
      <c r="S301" t="s">
        <v>52</v>
      </c>
      <c r="T301">
        <v>5482</v>
      </c>
      <c r="U301">
        <v>16321</v>
      </c>
      <c r="V301">
        <v>5</v>
      </c>
      <c r="W301" t="s">
        <v>42</v>
      </c>
      <c r="X301" t="s">
        <v>43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1</v>
      </c>
      <c r="AI301">
        <v>1</v>
      </c>
      <c r="AJ301">
        <v>2</v>
      </c>
    </row>
    <row r="302" spans="1:36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tr">
        <v>no</v>
      </c>
      <c r="S302" t="s">
        <v>41</v>
      </c>
      <c r="T302">
        <v>16015</v>
      </c>
      <c r="U302">
        <v>15896</v>
      </c>
      <c r="V302">
        <v>1</v>
      </c>
      <c r="W302" t="s">
        <v>42</v>
      </c>
      <c r="X302" t="s">
        <v>43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10</v>
      </c>
      <c r="AI302">
        <v>0</v>
      </c>
      <c r="AJ302">
        <v>4</v>
      </c>
    </row>
    <row r="303" spans="1:36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tr">
        <v>yes</v>
      </c>
      <c r="S303" t="s">
        <v>41</v>
      </c>
      <c r="T303">
        <v>1200</v>
      </c>
      <c r="U303">
        <v>9724</v>
      </c>
      <c r="V303">
        <v>1</v>
      </c>
      <c r="W303" t="s">
        <v>42</v>
      </c>
      <c r="X303" t="s">
        <v>43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</row>
    <row r="304" spans="1:36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tr">
        <v>no</v>
      </c>
      <c r="S304" t="s">
        <v>41</v>
      </c>
      <c r="T304">
        <v>5661</v>
      </c>
      <c r="U304">
        <v>4824</v>
      </c>
      <c r="V304">
        <v>0</v>
      </c>
      <c r="W304" t="s">
        <v>42</v>
      </c>
      <c r="X304" t="s">
        <v>43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3</v>
      </c>
      <c r="AI304">
        <v>0</v>
      </c>
      <c r="AJ304">
        <v>7</v>
      </c>
    </row>
    <row r="305" spans="1:36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tr">
        <v>yes</v>
      </c>
      <c r="S305" t="s">
        <v>48</v>
      </c>
      <c r="T305">
        <v>6929</v>
      </c>
      <c r="U305">
        <v>12241</v>
      </c>
      <c r="V305">
        <v>4</v>
      </c>
      <c r="W305" t="s">
        <v>42</v>
      </c>
      <c r="X305" t="s">
        <v>43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7</v>
      </c>
      <c r="AI305">
        <v>7</v>
      </c>
      <c r="AJ305">
        <v>7</v>
      </c>
    </row>
    <row r="306" spans="1:36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tr">
        <v>yes</v>
      </c>
      <c r="S306" t="s">
        <v>52</v>
      </c>
      <c r="T306">
        <v>9613</v>
      </c>
      <c r="U306">
        <v>10942</v>
      </c>
      <c r="V306">
        <v>0</v>
      </c>
      <c r="W306" t="s">
        <v>42</v>
      </c>
      <c r="X306" t="s">
        <v>43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10</v>
      </c>
      <c r="AI306">
        <v>3</v>
      </c>
      <c r="AJ306">
        <v>7</v>
      </c>
    </row>
    <row r="307" spans="1:36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tr">
        <v>no</v>
      </c>
      <c r="S307" t="s">
        <v>48</v>
      </c>
      <c r="T307">
        <v>5674</v>
      </c>
      <c r="U307">
        <v>6927</v>
      </c>
      <c r="V307">
        <v>7</v>
      </c>
      <c r="W307" t="s">
        <v>42</v>
      </c>
      <c r="X307" t="s">
        <v>43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8</v>
      </c>
      <c r="AI307">
        <v>0</v>
      </c>
      <c r="AJ307">
        <v>8</v>
      </c>
    </row>
    <row r="308" spans="1:36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tr">
        <v>yes</v>
      </c>
      <c r="S308" t="s">
        <v>48</v>
      </c>
      <c r="T308">
        <v>5484</v>
      </c>
      <c r="U308">
        <v>16985</v>
      </c>
      <c r="V308">
        <v>1</v>
      </c>
      <c r="W308" t="s">
        <v>42</v>
      </c>
      <c r="X308" t="s">
        <v>43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8</v>
      </c>
      <c r="AI308">
        <v>4</v>
      </c>
      <c r="AJ308">
        <v>8</v>
      </c>
    </row>
    <row r="309" spans="1:36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tr">
        <v>no</v>
      </c>
      <c r="S309" t="s">
        <v>48</v>
      </c>
      <c r="T309">
        <v>12061</v>
      </c>
      <c r="U309">
        <v>26707</v>
      </c>
      <c r="V309">
        <v>3</v>
      </c>
      <c r="W309" t="s">
        <v>42</v>
      </c>
      <c r="X309" t="s">
        <v>43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8</v>
      </c>
      <c r="AI309">
        <v>0</v>
      </c>
      <c r="AJ309">
        <v>1</v>
      </c>
    </row>
    <row r="310" spans="1:36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tr">
        <v>yes</v>
      </c>
      <c r="S310" t="s">
        <v>52</v>
      </c>
      <c r="T310">
        <v>5660</v>
      </c>
      <c r="U310">
        <v>17056</v>
      </c>
      <c r="V310">
        <v>2</v>
      </c>
      <c r="W310" t="s">
        <v>42</v>
      </c>
      <c r="X310" t="s">
        <v>35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3</v>
      </c>
      <c r="AI310">
        <v>1</v>
      </c>
      <c r="AJ310">
        <v>2</v>
      </c>
    </row>
    <row r="311" spans="1:36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tr">
        <v>yes</v>
      </c>
      <c r="S311" t="s">
        <v>48</v>
      </c>
      <c r="T311">
        <v>4821</v>
      </c>
      <c r="U311">
        <v>10077</v>
      </c>
      <c r="V311">
        <v>0</v>
      </c>
      <c r="W311" t="s">
        <v>42</v>
      </c>
      <c r="X311" t="s">
        <v>35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2</v>
      </c>
      <c r="AI311">
        <v>0</v>
      </c>
      <c r="AJ311">
        <v>3</v>
      </c>
    </row>
    <row r="312" spans="1:36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tr">
        <v>no</v>
      </c>
      <c r="S312" t="s">
        <v>48</v>
      </c>
      <c r="T312">
        <v>6410</v>
      </c>
      <c r="U312">
        <v>17822</v>
      </c>
      <c r="V312">
        <v>3</v>
      </c>
      <c r="W312" t="s">
        <v>42</v>
      </c>
      <c r="X312" t="s">
        <v>43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2</v>
      </c>
      <c r="AI312">
        <v>1</v>
      </c>
      <c r="AJ312">
        <v>0</v>
      </c>
    </row>
    <row r="313" spans="1:36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tr">
        <v>no</v>
      </c>
      <c r="S313" t="s">
        <v>52</v>
      </c>
      <c r="T313">
        <v>5210</v>
      </c>
      <c r="U313">
        <v>20308</v>
      </c>
      <c r="V313">
        <v>1</v>
      </c>
      <c r="W313" t="s">
        <v>42</v>
      </c>
      <c r="X313" t="s">
        <v>43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9</v>
      </c>
      <c r="AI313">
        <v>9</v>
      </c>
      <c r="AJ313">
        <v>11</v>
      </c>
    </row>
    <row r="314" spans="1:36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tr">
        <v>yes</v>
      </c>
      <c r="S314" t="s">
        <v>52</v>
      </c>
      <c r="T314">
        <v>2695</v>
      </c>
      <c r="U314">
        <v>7747</v>
      </c>
      <c r="V314">
        <v>0</v>
      </c>
      <c r="W314" t="s">
        <v>42</v>
      </c>
      <c r="X314" t="s">
        <v>35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2</v>
      </c>
      <c r="AI314">
        <v>2</v>
      </c>
      <c r="AJ314">
        <v>2</v>
      </c>
    </row>
    <row r="315" spans="1:36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tr">
        <v>no</v>
      </c>
      <c r="S315" t="s">
        <v>48</v>
      </c>
      <c r="T315">
        <v>11878</v>
      </c>
      <c r="U315">
        <v>23364</v>
      </c>
      <c r="V315">
        <v>6</v>
      </c>
      <c r="W315" t="s">
        <v>42</v>
      </c>
      <c r="X315" t="s">
        <v>43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6</v>
      </c>
      <c r="AI315">
        <v>8</v>
      </c>
      <c r="AJ315">
        <v>8</v>
      </c>
    </row>
    <row r="316" spans="1:36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tr">
        <v>no</v>
      </c>
      <c r="S316" t="s">
        <v>48</v>
      </c>
      <c r="T316">
        <v>17068</v>
      </c>
      <c r="U316">
        <v>5355</v>
      </c>
      <c r="V316">
        <v>1</v>
      </c>
      <c r="W316" t="s">
        <v>42</v>
      </c>
      <c r="X316" t="s">
        <v>35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9</v>
      </c>
      <c r="AI316">
        <v>11</v>
      </c>
      <c r="AJ316">
        <v>10</v>
      </c>
    </row>
    <row r="317" spans="1:36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tr">
        <v>yes</v>
      </c>
      <c r="S317" t="s">
        <v>41</v>
      </c>
      <c r="T317">
        <v>2455</v>
      </c>
      <c r="U317">
        <v>10675</v>
      </c>
      <c r="V317">
        <v>0</v>
      </c>
      <c r="W317" t="s">
        <v>42</v>
      </c>
      <c r="X317" t="s">
        <v>43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7</v>
      </c>
      <c r="AI317">
        <v>1</v>
      </c>
      <c r="AJ317">
        <v>7</v>
      </c>
    </row>
    <row r="318" spans="1:36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tr">
        <v>yes</v>
      </c>
      <c r="S318" t="s">
        <v>41</v>
      </c>
      <c r="T318">
        <v>13964</v>
      </c>
      <c r="U318">
        <v>17810</v>
      </c>
      <c r="V318">
        <v>7</v>
      </c>
      <c r="W318" t="s">
        <v>42</v>
      </c>
      <c r="X318" t="s">
        <v>35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</v>
      </c>
      <c r="AI318">
        <v>0</v>
      </c>
      <c r="AJ318">
        <v>7</v>
      </c>
    </row>
    <row r="319" spans="1:36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tr">
        <v>no</v>
      </c>
      <c r="S319" t="s">
        <v>48</v>
      </c>
      <c r="T319">
        <v>4941</v>
      </c>
      <c r="U319">
        <v>17747</v>
      </c>
      <c r="V319">
        <v>2</v>
      </c>
      <c r="W319" t="s">
        <v>42</v>
      </c>
      <c r="X319" t="s">
        <v>43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2</v>
      </c>
      <c r="AI319">
        <v>7</v>
      </c>
      <c r="AJ319">
        <v>7</v>
      </c>
    </row>
    <row r="320" spans="1:36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tr">
        <v>no</v>
      </c>
      <c r="S320" t="s">
        <v>41</v>
      </c>
      <c r="T320">
        <v>2478</v>
      </c>
      <c r="U320">
        <v>20938</v>
      </c>
      <c r="V320">
        <v>1</v>
      </c>
      <c r="W320" t="s">
        <v>42</v>
      </c>
      <c r="X320" t="s">
        <v>35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3</v>
      </c>
      <c r="AI320">
        <v>1</v>
      </c>
      <c r="AJ320">
        <v>2</v>
      </c>
    </row>
    <row r="321" spans="1:36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tr">
        <v>no</v>
      </c>
      <c r="S321" t="s">
        <v>48</v>
      </c>
      <c r="T321">
        <v>5228</v>
      </c>
      <c r="U321">
        <v>24624</v>
      </c>
      <c r="V321">
        <v>1</v>
      </c>
      <c r="W321" t="s">
        <v>42</v>
      </c>
      <c r="X321" t="s">
        <v>35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12</v>
      </c>
      <c r="AI321">
        <v>11</v>
      </c>
      <c r="AJ321">
        <v>9</v>
      </c>
    </row>
    <row r="322" spans="1:36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tr">
        <v>yes</v>
      </c>
      <c r="S322" t="s">
        <v>41</v>
      </c>
      <c r="T322">
        <v>4478</v>
      </c>
      <c r="U322">
        <v>5242</v>
      </c>
      <c r="V322">
        <v>1</v>
      </c>
      <c r="W322" t="s">
        <v>42</v>
      </c>
      <c r="X322" t="s">
        <v>35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4</v>
      </c>
      <c r="AI322">
        <v>0</v>
      </c>
      <c r="AJ322">
        <v>4</v>
      </c>
    </row>
    <row r="323" spans="1:36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tr">
        <v>yes</v>
      </c>
      <c r="S323" t="s">
        <v>52</v>
      </c>
      <c r="T323">
        <v>7547</v>
      </c>
      <c r="U323">
        <v>7143</v>
      </c>
      <c r="V323">
        <v>4</v>
      </c>
      <c r="W323" t="s">
        <v>42</v>
      </c>
      <c r="X323" t="s">
        <v>43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7</v>
      </c>
      <c r="AI323">
        <v>1</v>
      </c>
      <c r="AJ323">
        <v>7</v>
      </c>
    </row>
    <row r="324" spans="1:36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tr">
        <v>yes</v>
      </c>
      <c r="S324" t="s">
        <v>41</v>
      </c>
      <c r="T324">
        <v>5055</v>
      </c>
      <c r="U324">
        <v>10557</v>
      </c>
      <c r="V324">
        <v>7</v>
      </c>
      <c r="W324" t="s">
        <v>42</v>
      </c>
      <c r="X324" t="s">
        <v>43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7</v>
      </c>
      <c r="AI324">
        <v>0</v>
      </c>
      <c r="AJ324">
        <v>7</v>
      </c>
    </row>
    <row r="325" spans="1:36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tr">
        <v>yes</v>
      </c>
      <c r="S325" t="s">
        <v>48</v>
      </c>
      <c r="T325">
        <v>3464</v>
      </c>
      <c r="U325">
        <v>24737</v>
      </c>
      <c r="V325">
        <v>5</v>
      </c>
      <c r="W325" t="s">
        <v>42</v>
      </c>
      <c r="X325" t="s">
        <v>35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</row>
    <row r="326" spans="1:36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tr">
        <v>yes</v>
      </c>
      <c r="S326" t="s">
        <v>48</v>
      </c>
      <c r="T326">
        <v>5775</v>
      </c>
      <c r="U326">
        <v>11934</v>
      </c>
      <c r="V326">
        <v>1</v>
      </c>
      <c r="W326" t="s">
        <v>42</v>
      </c>
      <c r="X326" t="s">
        <v>43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8</v>
      </c>
      <c r="AI326">
        <v>1</v>
      </c>
      <c r="AJ326">
        <v>9</v>
      </c>
    </row>
    <row r="327" spans="1:36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tr">
        <v>yes</v>
      </c>
      <c r="S327" t="s">
        <v>48</v>
      </c>
      <c r="T327">
        <v>8943</v>
      </c>
      <c r="U327">
        <v>14034</v>
      </c>
      <c r="V327">
        <v>1</v>
      </c>
      <c r="W327" t="s">
        <v>42</v>
      </c>
      <c r="X327" t="s">
        <v>43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9</v>
      </c>
      <c r="AI327">
        <v>8</v>
      </c>
      <c r="AJ327">
        <v>9</v>
      </c>
    </row>
    <row r="328" spans="1:36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tr">
        <v>yes</v>
      </c>
      <c r="S328" t="s">
        <v>48</v>
      </c>
      <c r="T328">
        <v>19272</v>
      </c>
      <c r="U328">
        <v>21141</v>
      </c>
      <c r="V328">
        <v>1</v>
      </c>
      <c r="W328" t="s">
        <v>42</v>
      </c>
      <c r="X328" t="s">
        <v>43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9</v>
      </c>
      <c r="AI328">
        <v>13</v>
      </c>
      <c r="AJ328">
        <v>3</v>
      </c>
    </row>
    <row r="329" spans="1:36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tr">
        <v>yes</v>
      </c>
      <c r="S329" t="s">
        <v>48</v>
      </c>
      <c r="T329">
        <v>5238</v>
      </c>
      <c r="U329">
        <v>17778</v>
      </c>
      <c r="V329">
        <v>4</v>
      </c>
      <c r="W329" t="s">
        <v>42</v>
      </c>
      <c r="X329" t="s">
        <v>35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0</v>
      </c>
      <c r="AI329">
        <v>0</v>
      </c>
      <c r="AJ329">
        <v>0</v>
      </c>
    </row>
    <row r="330" spans="1:36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tr">
        <v>yes</v>
      </c>
      <c r="S330" t="s">
        <v>41</v>
      </c>
      <c r="T330">
        <v>4682</v>
      </c>
      <c r="U330">
        <v>4317</v>
      </c>
      <c r="V330">
        <v>3</v>
      </c>
      <c r="W330" t="s">
        <v>42</v>
      </c>
      <c r="X330" t="s">
        <v>43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7</v>
      </c>
      <c r="AI330">
        <v>0</v>
      </c>
      <c r="AJ330">
        <v>1</v>
      </c>
    </row>
    <row r="331" spans="1:36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tr">
        <v>yes</v>
      </c>
      <c r="S331" t="s">
        <v>48</v>
      </c>
      <c r="T331">
        <v>18300</v>
      </c>
      <c r="U331">
        <v>16375</v>
      </c>
      <c r="V331">
        <v>4</v>
      </c>
      <c r="W331" t="s">
        <v>42</v>
      </c>
      <c r="X331" t="s">
        <v>43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2</v>
      </c>
      <c r="AI331">
        <v>1</v>
      </c>
      <c r="AJ331">
        <v>1</v>
      </c>
    </row>
    <row r="332" spans="1:36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tr">
        <v>yes</v>
      </c>
      <c r="S332" t="s">
        <v>52</v>
      </c>
      <c r="T332">
        <v>5257</v>
      </c>
      <c r="U332">
        <v>6227</v>
      </c>
      <c r="V332">
        <v>1</v>
      </c>
      <c r="W332" t="s">
        <v>42</v>
      </c>
      <c r="X332" t="s">
        <v>43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7</v>
      </c>
      <c r="AI332">
        <v>0</v>
      </c>
      <c r="AJ332">
        <v>0</v>
      </c>
    </row>
    <row r="333" spans="1:36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tr">
        <v>no</v>
      </c>
      <c r="S333" t="s">
        <v>48</v>
      </c>
      <c r="T333">
        <v>6349</v>
      </c>
      <c r="U333">
        <v>22107</v>
      </c>
      <c r="V333">
        <v>0</v>
      </c>
      <c r="W333" t="s">
        <v>42</v>
      </c>
      <c r="X333" t="s">
        <v>35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4</v>
      </c>
      <c r="AI333">
        <v>1</v>
      </c>
      <c r="AJ333">
        <v>4</v>
      </c>
    </row>
    <row r="334" spans="1:36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tr">
        <v>yes</v>
      </c>
      <c r="S334" t="s">
        <v>41</v>
      </c>
      <c r="T334">
        <v>4869</v>
      </c>
      <c r="U334">
        <v>16885</v>
      </c>
      <c r="V334">
        <v>3</v>
      </c>
      <c r="W334" t="s">
        <v>42</v>
      </c>
      <c r="X334" t="s">
        <v>43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3</v>
      </c>
      <c r="AI334">
        <v>0</v>
      </c>
      <c r="AJ334">
        <v>3</v>
      </c>
    </row>
    <row r="335" spans="1:36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tr">
        <v>no</v>
      </c>
      <c r="S335" t="s">
        <v>48</v>
      </c>
      <c r="T335">
        <v>9985</v>
      </c>
      <c r="U335">
        <v>9262</v>
      </c>
      <c r="V335">
        <v>8</v>
      </c>
      <c r="W335" t="s">
        <v>42</v>
      </c>
      <c r="X335" t="s">
        <v>43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0</v>
      </c>
      <c r="AI335">
        <v>0</v>
      </c>
      <c r="AJ335">
        <v>0</v>
      </c>
    </row>
    <row r="336" spans="1:36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tr">
        <v>yes</v>
      </c>
      <c r="S336" t="s">
        <v>48</v>
      </c>
      <c r="T336">
        <v>3697</v>
      </c>
      <c r="U336">
        <v>9278</v>
      </c>
      <c r="V336">
        <v>9</v>
      </c>
      <c r="W336" t="s">
        <v>42</v>
      </c>
      <c r="X336" t="s">
        <v>43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9</v>
      </c>
      <c r="AI336">
        <v>9</v>
      </c>
      <c r="AJ336">
        <v>8</v>
      </c>
    </row>
    <row r="337" spans="1:36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tr">
        <v>yes</v>
      </c>
      <c r="S337" t="s">
        <v>48</v>
      </c>
      <c r="T337">
        <v>7457</v>
      </c>
      <c r="U337">
        <v>13273</v>
      </c>
      <c r="V337">
        <v>2</v>
      </c>
      <c r="W337" t="s">
        <v>42</v>
      </c>
      <c r="X337" t="s">
        <v>35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3</v>
      </c>
      <c r="AI337">
        <v>0</v>
      </c>
      <c r="AJ337">
        <v>2</v>
      </c>
    </row>
    <row r="338" spans="1:36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tr">
        <v>no</v>
      </c>
      <c r="S338" t="s">
        <v>48</v>
      </c>
      <c r="T338">
        <v>2119</v>
      </c>
      <c r="U338">
        <v>4759</v>
      </c>
      <c r="V338">
        <v>1</v>
      </c>
      <c r="W338" t="s">
        <v>42</v>
      </c>
      <c r="X338" t="s">
        <v>35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7</v>
      </c>
      <c r="AI338">
        <v>0</v>
      </c>
      <c r="AJ338">
        <v>7</v>
      </c>
    </row>
    <row r="339" spans="1:36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tr">
        <v>yes</v>
      </c>
      <c r="S339" t="s">
        <v>41</v>
      </c>
      <c r="T339">
        <v>3983</v>
      </c>
      <c r="U339">
        <v>7621</v>
      </c>
      <c r="V339">
        <v>0</v>
      </c>
      <c r="W339" t="s">
        <v>42</v>
      </c>
      <c r="X339" t="s">
        <v>43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2</v>
      </c>
      <c r="AI339">
        <v>2</v>
      </c>
      <c r="AJ339">
        <v>2</v>
      </c>
    </row>
    <row r="340" spans="1:36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tr">
        <v>yes</v>
      </c>
      <c r="S340" t="s">
        <v>52</v>
      </c>
      <c r="T340">
        <v>6118</v>
      </c>
      <c r="U340">
        <v>5431</v>
      </c>
      <c r="V340">
        <v>1</v>
      </c>
      <c r="W340" t="s">
        <v>42</v>
      </c>
      <c r="X340" t="s">
        <v>43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9</v>
      </c>
      <c r="AI340">
        <v>1</v>
      </c>
      <c r="AJ340">
        <v>2</v>
      </c>
    </row>
    <row r="341" spans="1:36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tr">
        <v>no</v>
      </c>
      <c r="S341" t="s">
        <v>48</v>
      </c>
      <c r="T341">
        <v>6214</v>
      </c>
      <c r="U341">
        <v>3415</v>
      </c>
      <c r="V341">
        <v>1</v>
      </c>
      <c r="W341" t="s">
        <v>42</v>
      </c>
      <c r="X341" t="s">
        <v>43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7</v>
      </c>
      <c r="AI341">
        <v>0</v>
      </c>
      <c r="AJ341">
        <v>7</v>
      </c>
    </row>
    <row r="342" spans="1:36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tr">
        <v>yes</v>
      </c>
      <c r="S342" t="s">
        <v>52</v>
      </c>
      <c r="T342">
        <v>6347</v>
      </c>
      <c r="U342">
        <v>23177</v>
      </c>
      <c r="V342">
        <v>7</v>
      </c>
      <c r="W342" t="s">
        <v>42</v>
      </c>
      <c r="X342" t="s">
        <v>43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0</v>
      </c>
      <c r="AJ342">
        <v>4</v>
      </c>
    </row>
    <row r="343" spans="1:36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tr">
        <v>yes</v>
      </c>
      <c r="S343" t="s">
        <v>52</v>
      </c>
      <c r="T343">
        <v>11510</v>
      </c>
      <c r="U343">
        <v>15682</v>
      </c>
      <c r="V343">
        <v>0</v>
      </c>
      <c r="W343" t="s">
        <v>42</v>
      </c>
      <c r="X343" t="s">
        <v>35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10</v>
      </c>
      <c r="AI343">
        <v>2</v>
      </c>
      <c r="AJ343">
        <v>9</v>
      </c>
    </row>
    <row r="344" spans="1:36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tr">
        <v>yes</v>
      </c>
      <c r="S344" t="s">
        <v>41</v>
      </c>
      <c r="T344">
        <v>7143</v>
      </c>
      <c r="U344">
        <v>25713</v>
      </c>
      <c r="V344">
        <v>1</v>
      </c>
      <c r="W344" t="s">
        <v>42</v>
      </c>
      <c r="X344" t="s">
        <v>35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9</v>
      </c>
      <c r="AI344">
        <v>4</v>
      </c>
      <c r="AJ344">
        <v>10</v>
      </c>
    </row>
    <row r="345" spans="1:36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tr">
        <v>no</v>
      </c>
      <c r="S345" t="s">
        <v>52</v>
      </c>
      <c r="T345">
        <v>8268</v>
      </c>
      <c r="U345">
        <v>11866</v>
      </c>
      <c r="V345">
        <v>1</v>
      </c>
      <c r="W345" t="s">
        <v>42</v>
      </c>
      <c r="X345" t="s">
        <v>35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7</v>
      </c>
      <c r="AI345">
        <v>1</v>
      </c>
      <c r="AJ345">
        <v>7</v>
      </c>
    </row>
    <row r="346" spans="1:36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tr">
        <v>no</v>
      </c>
      <c r="S346" t="s">
        <v>41</v>
      </c>
      <c r="T346">
        <v>8095</v>
      </c>
      <c r="U346">
        <v>18264</v>
      </c>
      <c r="V346">
        <v>0</v>
      </c>
      <c r="W346" t="s">
        <v>42</v>
      </c>
      <c r="X346" t="s">
        <v>43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6</v>
      </c>
      <c r="AI346">
        <v>0</v>
      </c>
      <c r="AJ346">
        <v>13</v>
      </c>
    </row>
    <row r="347" spans="1:36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tr">
        <v>yes</v>
      </c>
      <c r="S347" t="s">
        <v>52</v>
      </c>
      <c r="T347">
        <v>2904</v>
      </c>
      <c r="U347">
        <v>16092</v>
      </c>
      <c r="V347">
        <v>1</v>
      </c>
      <c r="W347" t="s">
        <v>42</v>
      </c>
      <c r="X347" t="s">
        <v>43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2</v>
      </c>
      <c r="AI347">
        <v>0</v>
      </c>
      <c r="AJ347">
        <v>2</v>
      </c>
    </row>
    <row r="348" spans="1:36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tr">
        <v>no</v>
      </c>
      <c r="S348" t="s">
        <v>41</v>
      </c>
      <c r="T348">
        <v>6032</v>
      </c>
      <c r="U348">
        <v>10110</v>
      </c>
      <c r="V348">
        <v>6</v>
      </c>
      <c r="W348" t="s">
        <v>42</v>
      </c>
      <c r="X348" t="s">
        <v>35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4</v>
      </c>
      <c r="AI348">
        <v>1</v>
      </c>
      <c r="AJ348">
        <v>2</v>
      </c>
    </row>
    <row r="349" spans="1:36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tr">
        <v>yes</v>
      </c>
      <c r="S349" t="s">
        <v>41</v>
      </c>
      <c r="T349">
        <v>2976</v>
      </c>
      <c r="U349">
        <v>25751</v>
      </c>
      <c r="V349">
        <v>3</v>
      </c>
      <c r="W349" t="s">
        <v>42</v>
      </c>
      <c r="X349" t="s">
        <v>43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</row>
    <row r="350" spans="1:36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tr">
        <v>yes</v>
      </c>
      <c r="S350" t="s">
        <v>41</v>
      </c>
      <c r="T350">
        <v>15992</v>
      </c>
      <c r="U350">
        <v>15901</v>
      </c>
      <c r="V350">
        <v>2</v>
      </c>
      <c r="W350" t="s">
        <v>42</v>
      </c>
      <c r="X350" t="s">
        <v>43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0</v>
      </c>
      <c r="AI350">
        <v>0</v>
      </c>
      <c r="AJ350">
        <v>0</v>
      </c>
    </row>
    <row r="351" spans="1:36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tr">
        <v>yes</v>
      </c>
      <c r="S351" t="s">
        <v>48</v>
      </c>
      <c r="T351">
        <v>4649</v>
      </c>
      <c r="U351">
        <v>16928</v>
      </c>
      <c r="V351">
        <v>1</v>
      </c>
      <c r="W351" t="s">
        <v>42</v>
      </c>
      <c r="X351" t="s">
        <v>43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3</v>
      </c>
      <c r="AI351">
        <v>0</v>
      </c>
      <c r="AJ351">
        <v>2</v>
      </c>
    </row>
    <row r="352" spans="1:36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tr">
        <v>yes</v>
      </c>
      <c r="S352" t="s">
        <v>52</v>
      </c>
      <c r="T352">
        <v>2696</v>
      </c>
      <c r="U352">
        <v>24017</v>
      </c>
      <c r="V352">
        <v>0</v>
      </c>
      <c r="W352" t="s">
        <v>42</v>
      </c>
      <c r="X352" t="s">
        <v>35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2</v>
      </c>
      <c r="AI352">
        <v>1</v>
      </c>
      <c r="AJ352">
        <v>0</v>
      </c>
    </row>
    <row r="353" spans="1:36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tr">
        <v>no</v>
      </c>
      <c r="S353" t="s">
        <v>48</v>
      </c>
      <c r="T353">
        <v>2370</v>
      </c>
      <c r="U353">
        <v>3956</v>
      </c>
      <c r="V353">
        <v>1</v>
      </c>
      <c r="W353" t="s">
        <v>42</v>
      </c>
      <c r="X353" t="s">
        <v>43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7</v>
      </c>
    </row>
    <row r="354" spans="1:36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tr">
        <v>yes</v>
      </c>
      <c r="S354" t="s">
        <v>48</v>
      </c>
      <c r="T354">
        <v>12504</v>
      </c>
      <c r="U354">
        <v>23978</v>
      </c>
      <c r="V354">
        <v>3</v>
      </c>
      <c r="W354" t="s">
        <v>42</v>
      </c>
      <c r="X354" t="s">
        <v>43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0</v>
      </c>
      <c r="AI354">
        <v>0</v>
      </c>
      <c r="AJ354">
        <v>0</v>
      </c>
    </row>
    <row r="355" spans="1:36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tr">
        <v>no</v>
      </c>
      <c r="S355" t="s">
        <v>52</v>
      </c>
      <c r="T355">
        <v>5974</v>
      </c>
      <c r="U355">
        <v>17001</v>
      </c>
      <c r="V355">
        <v>4</v>
      </c>
      <c r="W355" t="s">
        <v>42</v>
      </c>
      <c r="X355" t="s">
        <v>35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7</v>
      </c>
      <c r="AI355">
        <v>6</v>
      </c>
      <c r="AJ355">
        <v>7</v>
      </c>
    </row>
    <row r="356" spans="1:36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tr">
        <v>yes</v>
      </c>
      <c r="S356" t="s">
        <v>48</v>
      </c>
      <c r="T356">
        <v>4736</v>
      </c>
      <c r="U356">
        <v>6069</v>
      </c>
      <c r="V356">
        <v>7</v>
      </c>
      <c r="W356" t="s">
        <v>42</v>
      </c>
      <c r="X356" t="s">
        <v>35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</row>
    <row r="357" spans="1:36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tr">
        <v>yes</v>
      </c>
      <c r="S357" t="s">
        <v>48</v>
      </c>
      <c r="T357">
        <v>5296</v>
      </c>
      <c r="U357">
        <v>20156</v>
      </c>
      <c r="V357">
        <v>1</v>
      </c>
      <c r="W357" t="s">
        <v>42</v>
      </c>
      <c r="X357" t="s">
        <v>43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7</v>
      </c>
      <c r="AI357">
        <v>7</v>
      </c>
      <c r="AJ357">
        <v>7</v>
      </c>
    </row>
    <row r="358" spans="1:36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tr">
        <v>yes</v>
      </c>
      <c r="S358" t="s">
        <v>41</v>
      </c>
      <c r="T358">
        <v>6781</v>
      </c>
      <c r="U358">
        <v>17078</v>
      </c>
      <c r="V358">
        <v>3</v>
      </c>
      <c r="W358" t="s">
        <v>42</v>
      </c>
      <c r="X358" t="s">
        <v>43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0</v>
      </c>
      <c r="AI358">
        <v>0</v>
      </c>
      <c r="AJ358">
        <v>0</v>
      </c>
    </row>
    <row r="359" spans="1:36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tr">
        <v>no</v>
      </c>
      <c r="S359" t="s">
        <v>41</v>
      </c>
      <c r="T359">
        <v>2174</v>
      </c>
      <c r="U359">
        <v>9150</v>
      </c>
      <c r="V359">
        <v>1</v>
      </c>
      <c r="W359" t="s">
        <v>42</v>
      </c>
      <c r="X359" t="s">
        <v>35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2</v>
      </c>
      <c r="AI359">
        <v>1</v>
      </c>
      <c r="AJ359">
        <v>2</v>
      </c>
    </row>
    <row r="360" spans="1:36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tr">
        <v>yes</v>
      </c>
      <c r="S360" t="s">
        <v>41</v>
      </c>
      <c r="T360">
        <v>6653</v>
      </c>
      <c r="U360">
        <v>15276</v>
      </c>
      <c r="V360">
        <v>4</v>
      </c>
      <c r="W360" t="s">
        <v>42</v>
      </c>
      <c r="X360" t="s">
        <v>43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0</v>
      </c>
      <c r="AI360">
        <v>0</v>
      </c>
      <c r="AJ360">
        <v>0</v>
      </c>
    </row>
    <row r="361" spans="1:36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tr">
        <v>yes</v>
      </c>
      <c r="S361" t="s">
        <v>48</v>
      </c>
      <c r="T361">
        <v>9699</v>
      </c>
      <c r="U361">
        <v>7246</v>
      </c>
      <c r="V361">
        <v>4</v>
      </c>
      <c r="W361" t="s">
        <v>42</v>
      </c>
      <c r="X361" t="s">
        <v>43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9</v>
      </c>
      <c r="AI361">
        <v>1</v>
      </c>
      <c r="AJ361">
        <v>12</v>
      </c>
    </row>
    <row r="362" spans="1:36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tr">
        <v>yes</v>
      </c>
      <c r="S362" t="s">
        <v>48</v>
      </c>
      <c r="T362">
        <v>6755</v>
      </c>
      <c r="U362">
        <v>2967</v>
      </c>
      <c r="V362">
        <v>2</v>
      </c>
      <c r="W362" t="s">
        <v>42</v>
      </c>
      <c r="X362" t="s">
        <v>43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2</v>
      </c>
      <c r="AI362">
        <v>1</v>
      </c>
      <c r="AJ362">
        <v>2</v>
      </c>
    </row>
    <row r="363" spans="1:36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tr">
        <v>yes</v>
      </c>
      <c r="S363" t="s">
        <v>48</v>
      </c>
      <c r="T363">
        <v>2213</v>
      </c>
      <c r="U363">
        <v>22495</v>
      </c>
      <c r="V363">
        <v>3</v>
      </c>
      <c r="W363" t="s">
        <v>42</v>
      </c>
      <c r="X363" t="s">
        <v>35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7</v>
      </c>
      <c r="AI363">
        <v>1</v>
      </c>
      <c r="AJ363">
        <v>7</v>
      </c>
    </row>
    <row r="364" spans="1:36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tr">
        <v>yes</v>
      </c>
      <c r="S364" t="s">
        <v>41</v>
      </c>
      <c r="T364">
        <v>2610</v>
      </c>
      <c r="U364">
        <v>2851</v>
      </c>
      <c r="V364">
        <v>1</v>
      </c>
      <c r="W364" t="s">
        <v>42</v>
      </c>
      <c r="X364" t="s">
        <v>43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2</v>
      </c>
      <c r="AI364">
        <v>2</v>
      </c>
      <c r="AJ364">
        <v>2</v>
      </c>
    </row>
    <row r="365" spans="1:36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tr">
        <v>yes</v>
      </c>
      <c r="S365" t="s">
        <v>41</v>
      </c>
      <c r="T365">
        <v>2851</v>
      </c>
      <c r="U365">
        <v>9150</v>
      </c>
      <c r="V365">
        <v>1</v>
      </c>
      <c r="W365" t="s">
        <v>42</v>
      </c>
      <c r="X365" t="s">
        <v>35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</row>
    <row r="366" spans="1:36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tr">
        <v>no</v>
      </c>
      <c r="S366" t="s">
        <v>48</v>
      </c>
      <c r="T366">
        <v>3452</v>
      </c>
      <c r="U366">
        <v>17663</v>
      </c>
      <c r="V366">
        <v>6</v>
      </c>
      <c r="W366" t="s">
        <v>42</v>
      </c>
      <c r="X366" t="s">
        <v>43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4</v>
      </c>
      <c r="AI366">
        <v>0</v>
      </c>
      <c r="AJ366">
        <v>3</v>
      </c>
    </row>
    <row r="367" spans="1:36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tr">
        <v>yes</v>
      </c>
      <c r="S367" t="s">
        <v>48</v>
      </c>
      <c r="T367">
        <v>5258</v>
      </c>
      <c r="U367">
        <v>16044</v>
      </c>
      <c r="V367">
        <v>2</v>
      </c>
      <c r="W367" t="s">
        <v>42</v>
      </c>
      <c r="X367" t="s">
        <v>43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0</v>
      </c>
      <c r="AI367">
        <v>0</v>
      </c>
      <c r="AJ367">
        <v>0</v>
      </c>
    </row>
    <row r="368" spans="1:36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tr">
        <v>no</v>
      </c>
      <c r="S368" t="s">
        <v>41</v>
      </c>
      <c r="T368">
        <v>9355</v>
      </c>
      <c r="U368">
        <v>9558</v>
      </c>
      <c r="V368">
        <v>1</v>
      </c>
      <c r="W368" t="s">
        <v>42</v>
      </c>
      <c r="X368" t="s">
        <v>43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7</v>
      </c>
      <c r="AI368">
        <v>7</v>
      </c>
      <c r="AJ368">
        <v>7</v>
      </c>
    </row>
    <row r="369" spans="1:36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tr">
        <v>yes</v>
      </c>
      <c r="S369" t="s">
        <v>41</v>
      </c>
      <c r="T369">
        <v>10496</v>
      </c>
      <c r="U369">
        <v>2755</v>
      </c>
      <c r="V369">
        <v>6</v>
      </c>
      <c r="W369" t="s">
        <v>42</v>
      </c>
      <c r="X369" t="s">
        <v>43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3</v>
      </c>
      <c r="AI369">
        <v>1</v>
      </c>
      <c r="AJ369">
        <v>3</v>
      </c>
    </row>
    <row r="370" spans="1:36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tr">
        <v>yes</v>
      </c>
      <c r="S370" t="s">
        <v>48</v>
      </c>
      <c r="T370">
        <v>6380</v>
      </c>
      <c r="U370">
        <v>6110</v>
      </c>
      <c r="V370">
        <v>2</v>
      </c>
      <c r="W370" t="s">
        <v>42</v>
      </c>
      <c r="X370" t="s">
        <v>35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4</v>
      </c>
      <c r="AI370">
        <v>1</v>
      </c>
      <c r="AJ370">
        <v>0</v>
      </c>
    </row>
    <row r="371" spans="1:36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tr">
        <v>no</v>
      </c>
      <c r="S371" t="s">
        <v>41</v>
      </c>
      <c r="T371">
        <v>2657</v>
      </c>
      <c r="U371">
        <v>7551</v>
      </c>
      <c r="V371">
        <v>0</v>
      </c>
      <c r="W371" t="s">
        <v>42</v>
      </c>
      <c r="X371" t="s">
        <v>35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2</v>
      </c>
      <c r="AI371">
        <v>2</v>
      </c>
      <c r="AJ371">
        <v>2</v>
      </c>
    </row>
    <row r="372" spans="1:36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tr">
        <v>no</v>
      </c>
      <c r="S372" t="s">
        <v>41</v>
      </c>
      <c r="T372">
        <v>2716</v>
      </c>
      <c r="U372">
        <v>25422</v>
      </c>
      <c r="V372">
        <v>1</v>
      </c>
      <c r="W372" t="s">
        <v>42</v>
      </c>
      <c r="X372" t="s">
        <v>43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</row>
    <row r="373" spans="1:36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tr">
        <v>yes</v>
      </c>
      <c r="S373" t="s">
        <v>41</v>
      </c>
      <c r="T373">
        <v>2201</v>
      </c>
      <c r="U373">
        <v>18168</v>
      </c>
      <c r="V373">
        <v>9</v>
      </c>
      <c r="W373" t="s">
        <v>42</v>
      </c>
      <c r="X373" t="s">
        <v>43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2</v>
      </c>
      <c r="AI373">
        <v>1</v>
      </c>
      <c r="AJ373">
        <v>2</v>
      </c>
    </row>
    <row r="374" spans="1:36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tr">
        <v>no</v>
      </c>
      <c r="S374" t="s">
        <v>41</v>
      </c>
      <c r="T374">
        <v>6540</v>
      </c>
      <c r="U374">
        <v>19394</v>
      </c>
      <c r="V374">
        <v>9</v>
      </c>
      <c r="W374" t="s">
        <v>42</v>
      </c>
      <c r="X374" t="s">
        <v>43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1</v>
      </c>
      <c r="AI374">
        <v>0</v>
      </c>
      <c r="AJ374">
        <v>0</v>
      </c>
    </row>
    <row r="375" spans="1:36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tr">
        <v>no</v>
      </c>
      <c r="S375" t="s">
        <v>52</v>
      </c>
      <c r="T375">
        <v>3816</v>
      </c>
      <c r="U375">
        <v>17881</v>
      </c>
      <c r="V375">
        <v>1</v>
      </c>
      <c r="W375" t="s">
        <v>42</v>
      </c>
      <c r="X375" t="s">
        <v>43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2</v>
      </c>
      <c r="AI375">
        <v>0</v>
      </c>
      <c r="AJ375">
        <v>4</v>
      </c>
    </row>
    <row r="376" spans="1:36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tr">
        <v>yes</v>
      </c>
      <c r="S376" t="s">
        <v>41</v>
      </c>
      <c r="T376">
        <v>5253</v>
      </c>
      <c r="U376">
        <v>20750</v>
      </c>
      <c r="V376">
        <v>1</v>
      </c>
      <c r="W376" t="s">
        <v>42</v>
      </c>
      <c r="X376" t="s">
        <v>43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5</v>
      </c>
      <c r="AI376">
        <v>0</v>
      </c>
      <c r="AJ376">
        <v>7</v>
      </c>
    </row>
    <row r="377" spans="1:36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tr">
        <v>yes</v>
      </c>
      <c r="S377" t="s">
        <v>41</v>
      </c>
      <c r="T377">
        <v>10965</v>
      </c>
      <c r="U377">
        <v>12066</v>
      </c>
      <c r="V377">
        <v>8</v>
      </c>
      <c r="W377" t="s">
        <v>42</v>
      </c>
      <c r="X377" t="s">
        <v>43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</v>
      </c>
      <c r="AI377">
        <v>0</v>
      </c>
      <c r="AJ377">
        <v>0</v>
      </c>
    </row>
    <row r="378" spans="1:36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tr">
        <v>yes</v>
      </c>
      <c r="S378" t="s">
        <v>48</v>
      </c>
      <c r="T378">
        <v>4936</v>
      </c>
      <c r="U378">
        <v>14862</v>
      </c>
      <c r="V378">
        <v>4</v>
      </c>
      <c r="W378" t="s">
        <v>42</v>
      </c>
      <c r="X378" t="s">
        <v>43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7</v>
      </c>
      <c r="AI378">
        <v>0</v>
      </c>
      <c r="AJ378">
        <v>7</v>
      </c>
    </row>
    <row r="379" spans="1:36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tr">
        <v>yes</v>
      </c>
      <c r="S379" t="s">
        <v>48</v>
      </c>
      <c r="T379">
        <v>2543</v>
      </c>
      <c r="U379">
        <v>11868</v>
      </c>
      <c r="V379">
        <v>4</v>
      </c>
      <c r="W379" t="s">
        <v>42</v>
      </c>
      <c r="X379" t="s">
        <v>43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2</v>
      </c>
      <c r="AI379">
        <v>2</v>
      </c>
      <c r="AJ379">
        <v>2</v>
      </c>
    </row>
    <row r="380" spans="1:36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tr">
        <v>yes</v>
      </c>
      <c r="S380" t="s">
        <v>41</v>
      </c>
      <c r="T380">
        <v>5304</v>
      </c>
      <c r="U380">
        <v>4652</v>
      </c>
      <c r="V380">
        <v>8</v>
      </c>
      <c r="W380" t="s">
        <v>42</v>
      </c>
      <c r="X380" t="s">
        <v>35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2</v>
      </c>
      <c r="AI380">
        <v>0</v>
      </c>
      <c r="AJ380">
        <v>4</v>
      </c>
    </row>
    <row r="381" spans="1:36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tr">
        <v>yes</v>
      </c>
      <c r="S381" t="s">
        <v>41</v>
      </c>
      <c r="T381">
        <v>16659</v>
      </c>
      <c r="U381">
        <v>23258</v>
      </c>
      <c r="V381">
        <v>2</v>
      </c>
      <c r="W381" t="s">
        <v>42</v>
      </c>
      <c r="X381" t="s">
        <v>35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4</v>
      </c>
      <c r="AI381">
        <v>1</v>
      </c>
      <c r="AJ381">
        <v>2</v>
      </c>
    </row>
    <row r="382" spans="1:36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tr">
        <v>yes</v>
      </c>
      <c r="S382" t="s">
        <v>52</v>
      </c>
      <c r="T382">
        <v>4260</v>
      </c>
      <c r="U382">
        <v>5915</v>
      </c>
      <c r="V382">
        <v>1</v>
      </c>
      <c r="W382" t="s">
        <v>42</v>
      </c>
      <c r="X382" t="s">
        <v>35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2</v>
      </c>
      <c r="AI382">
        <v>0</v>
      </c>
      <c r="AJ382">
        <v>3</v>
      </c>
    </row>
    <row r="383" spans="1:36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tr">
        <v>no</v>
      </c>
      <c r="S383" t="s">
        <v>48</v>
      </c>
      <c r="T383">
        <v>2476</v>
      </c>
      <c r="U383">
        <v>17434</v>
      </c>
      <c r="V383">
        <v>1</v>
      </c>
      <c r="W383" t="s">
        <v>42</v>
      </c>
      <c r="X383" t="s">
        <v>43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</row>
    <row r="384" spans="1:36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tr">
        <v>no</v>
      </c>
      <c r="S384" t="s">
        <v>41</v>
      </c>
      <c r="T384">
        <v>3102</v>
      </c>
      <c r="U384">
        <v>6582</v>
      </c>
      <c r="V384">
        <v>0</v>
      </c>
      <c r="W384" t="s">
        <v>42</v>
      </c>
      <c r="X384" t="s">
        <v>43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4</v>
      </c>
      <c r="AI384">
        <v>0</v>
      </c>
      <c r="AJ384">
        <v>4</v>
      </c>
    </row>
    <row r="385" spans="1:36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tr">
        <v>no</v>
      </c>
      <c r="S385" t="s">
        <v>48</v>
      </c>
      <c r="T385">
        <v>2244</v>
      </c>
      <c r="U385">
        <v>24440</v>
      </c>
      <c r="V385">
        <v>1</v>
      </c>
      <c r="W385" t="s">
        <v>42</v>
      </c>
      <c r="X385" t="s">
        <v>43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1</v>
      </c>
      <c r="AI385">
        <v>1</v>
      </c>
      <c r="AJ385">
        <v>2</v>
      </c>
    </row>
    <row r="386" spans="1:36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tr">
        <v>yes</v>
      </c>
      <c r="S386" t="s">
        <v>48</v>
      </c>
      <c r="T386">
        <v>7596</v>
      </c>
      <c r="U386">
        <v>3809</v>
      </c>
      <c r="V386">
        <v>1</v>
      </c>
      <c r="W386" t="s">
        <v>42</v>
      </c>
      <c r="X386" t="s">
        <v>43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9</v>
      </c>
      <c r="AI386">
        <v>9</v>
      </c>
      <c r="AJ386">
        <v>0</v>
      </c>
    </row>
    <row r="387" spans="1:36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tr">
        <v>yes</v>
      </c>
      <c r="S387" t="s">
        <v>41</v>
      </c>
      <c r="T387">
        <v>2285</v>
      </c>
      <c r="U387">
        <v>3427</v>
      </c>
      <c r="V387">
        <v>9</v>
      </c>
      <c r="W387" t="s">
        <v>42</v>
      </c>
      <c r="X387" t="s">
        <v>35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0</v>
      </c>
      <c r="AI387">
        <v>0</v>
      </c>
      <c r="AJ387">
        <v>0</v>
      </c>
    </row>
    <row r="388" spans="1:36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tr">
        <v>no</v>
      </c>
      <c r="S388" t="s">
        <v>52</v>
      </c>
      <c r="T388">
        <v>3034</v>
      </c>
      <c r="U388">
        <v>26914</v>
      </c>
      <c r="V388">
        <v>1</v>
      </c>
      <c r="W388" t="s">
        <v>42</v>
      </c>
      <c r="X388" t="s">
        <v>43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7</v>
      </c>
      <c r="AI388">
        <v>12</v>
      </c>
      <c r="AJ388">
        <v>17</v>
      </c>
    </row>
    <row r="389" spans="1:36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tr">
        <v>no</v>
      </c>
      <c r="S389" t="s">
        <v>52</v>
      </c>
      <c r="T389">
        <v>5715</v>
      </c>
      <c r="U389">
        <v>22553</v>
      </c>
      <c r="V389">
        <v>7</v>
      </c>
      <c r="W389" t="s">
        <v>42</v>
      </c>
      <c r="X389" t="s">
        <v>43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4</v>
      </c>
      <c r="AI389">
        <v>1</v>
      </c>
      <c r="AJ389">
        <v>3</v>
      </c>
    </row>
    <row r="390" spans="1:36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tr">
        <v>no</v>
      </c>
      <c r="S390" t="s">
        <v>52</v>
      </c>
      <c r="T390">
        <v>2576</v>
      </c>
      <c r="U390">
        <v>20490</v>
      </c>
      <c r="V390">
        <v>3</v>
      </c>
      <c r="W390" t="s">
        <v>42</v>
      </c>
      <c r="X390" t="s">
        <v>43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2</v>
      </c>
      <c r="AI390">
        <v>1</v>
      </c>
      <c r="AJ390">
        <v>2</v>
      </c>
    </row>
    <row r="391" spans="1:36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tr">
        <v>no</v>
      </c>
      <c r="S391" t="s">
        <v>41</v>
      </c>
      <c r="T391">
        <v>4197</v>
      </c>
      <c r="U391">
        <v>21123</v>
      </c>
      <c r="V391">
        <v>2</v>
      </c>
      <c r="W391" t="s">
        <v>42</v>
      </c>
      <c r="X391" t="s">
        <v>35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0</v>
      </c>
      <c r="AI391">
        <v>0</v>
      </c>
      <c r="AJ391">
        <v>1</v>
      </c>
    </row>
    <row r="392" spans="1:36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tr">
        <v>no</v>
      </c>
      <c r="S392" t="s">
        <v>52</v>
      </c>
      <c r="T392">
        <v>14336</v>
      </c>
      <c r="U392">
        <v>4345</v>
      </c>
      <c r="V392">
        <v>1</v>
      </c>
      <c r="W392" t="s">
        <v>42</v>
      </c>
      <c r="X392" t="s">
        <v>43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10</v>
      </c>
      <c r="AI392">
        <v>3</v>
      </c>
      <c r="AJ392">
        <v>9</v>
      </c>
    </row>
    <row r="393" spans="1:36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tr">
        <v>yes</v>
      </c>
      <c r="S393" t="s">
        <v>48</v>
      </c>
      <c r="T393">
        <v>3448</v>
      </c>
      <c r="U393">
        <v>13436</v>
      </c>
      <c r="V393">
        <v>6</v>
      </c>
      <c r="W393" t="s">
        <v>42</v>
      </c>
      <c r="X393" t="s">
        <v>43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0</v>
      </c>
      <c r="AI393">
        <v>0</v>
      </c>
      <c r="AJ393">
        <v>0</v>
      </c>
    </row>
    <row r="394" spans="1:36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tr">
        <v>no</v>
      </c>
      <c r="S394" t="s">
        <v>48</v>
      </c>
      <c r="T394">
        <v>19406</v>
      </c>
      <c r="U394">
        <v>8509</v>
      </c>
      <c r="V394">
        <v>4</v>
      </c>
      <c r="W394" t="s">
        <v>42</v>
      </c>
      <c r="X394" t="s">
        <v>43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</v>
      </c>
      <c r="AI394">
        <v>1</v>
      </c>
      <c r="AJ394">
        <v>2</v>
      </c>
    </row>
    <row r="395" spans="1:36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tr">
        <v>yes</v>
      </c>
      <c r="S395" t="s">
        <v>48</v>
      </c>
      <c r="T395">
        <v>6538</v>
      </c>
      <c r="U395">
        <v>12740</v>
      </c>
      <c r="V395">
        <v>9</v>
      </c>
      <c r="W395" t="s">
        <v>42</v>
      </c>
      <c r="X395" t="s">
        <v>43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2</v>
      </c>
      <c r="AI395">
        <v>1</v>
      </c>
      <c r="AJ395">
        <v>2</v>
      </c>
    </row>
    <row r="396" spans="1:36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tr">
        <v>no</v>
      </c>
      <c r="S396" t="s">
        <v>48</v>
      </c>
      <c r="T396">
        <v>4306</v>
      </c>
      <c r="U396">
        <v>4156</v>
      </c>
      <c r="V396">
        <v>1</v>
      </c>
      <c r="W396" t="s">
        <v>42</v>
      </c>
      <c r="X396" t="s">
        <v>43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10</v>
      </c>
      <c r="AI396">
        <v>3</v>
      </c>
      <c r="AJ396">
        <v>12</v>
      </c>
    </row>
    <row r="397" spans="1:36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tr">
        <v>yes</v>
      </c>
      <c r="S397" t="s">
        <v>48</v>
      </c>
      <c r="T397">
        <v>2258</v>
      </c>
      <c r="U397">
        <v>15238</v>
      </c>
      <c r="V397">
        <v>7</v>
      </c>
      <c r="W397" t="s">
        <v>42</v>
      </c>
      <c r="X397" t="s">
        <v>43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2</v>
      </c>
      <c r="AI397">
        <v>1</v>
      </c>
      <c r="AJ397">
        <v>2</v>
      </c>
    </row>
    <row r="398" spans="1:36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tr">
        <v>yes</v>
      </c>
      <c r="S398" t="s">
        <v>52</v>
      </c>
      <c r="T398">
        <v>4522</v>
      </c>
      <c r="U398">
        <v>2227</v>
      </c>
      <c r="V398">
        <v>4</v>
      </c>
      <c r="W398" t="s">
        <v>42</v>
      </c>
      <c r="X398" t="s">
        <v>35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2</v>
      </c>
      <c r="AI398">
        <v>0</v>
      </c>
      <c r="AJ398">
        <v>2</v>
      </c>
    </row>
    <row r="399" spans="1:36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tr">
        <v>yes</v>
      </c>
      <c r="S399" t="s">
        <v>41</v>
      </c>
      <c r="T399">
        <v>4487</v>
      </c>
      <c r="U399">
        <v>12090</v>
      </c>
      <c r="V399">
        <v>1</v>
      </c>
      <c r="W399" t="s">
        <v>42</v>
      </c>
      <c r="X399" t="s">
        <v>35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4</v>
      </c>
      <c r="AI399">
        <v>1</v>
      </c>
      <c r="AJ399">
        <v>3</v>
      </c>
    </row>
    <row r="400" spans="1:36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tr">
        <v>yes</v>
      </c>
      <c r="S400" t="s">
        <v>48</v>
      </c>
      <c r="T400">
        <v>4449</v>
      </c>
      <c r="U400">
        <v>23866</v>
      </c>
      <c r="V400">
        <v>3</v>
      </c>
      <c r="W400" t="s">
        <v>42</v>
      </c>
      <c r="X400" t="s">
        <v>35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11</v>
      </c>
      <c r="AI400">
        <v>10</v>
      </c>
      <c r="AJ400">
        <v>7</v>
      </c>
    </row>
    <row r="401" spans="1:36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tr">
        <v>no</v>
      </c>
      <c r="S401" t="s">
        <v>48</v>
      </c>
      <c r="T401">
        <v>2218</v>
      </c>
      <c r="U401">
        <v>16193</v>
      </c>
      <c r="V401">
        <v>1</v>
      </c>
      <c r="W401" t="s">
        <v>42</v>
      </c>
      <c r="X401" t="s">
        <v>43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2</v>
      </c>
      <c r="AI401">
        <v>3</v>
      </c>
      <c r="AJ401">
        <v>2</v>
      </c>
    </row>
    <row r="402" spans="1:36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tr">
        <v>yes</v>
      </c>
      <c r="S402" t="s">
        <v>52</v>
      </c>
      <c r="T402">
        <v>19197</v>
      </c>
      <c r="U402">
        <v>8213</v>
      </c>
      <c r="V402">
        <v>1</v>
      </c>
      <c r="W402" t="s">
        <v>42</v>
      </c>
      <c r="X402" t="s">
        <v>35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8</v>
      </c>
      <c r="AI402">
        <v>1</v>
      </c>
      <c r="AJ402">
        <v>6</v>
      </c>
    </row>
    <row r="403" spans="1:36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tr">
        <v>no</v>
      </c>
      <c r="S403" t="s">
        <v>48</v>
      </c>
      <c r="T403">
        <v>13212</v>
      </c>
      <c r="U403">
        <v>18256</v>
      </c>
      <c r="V403">
        <v>9</v>
      </c>
      <c r="W403" t="s">
        <v>42</v>
      </c>
      <c r="X403" t="s">
        <v>43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7</v>
      </c>
      <c r="AI403">
        <v>7</v>
      </c>
      <c r="AJ403">
        <v>7</v>
      </c>
    </row>
    <row r="404" spans="1:36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tr">
        <v>yes</v>
      </c>
      <c r="S404" t="s">
        <v>41</v>
      </c>
      <c r="T404">
        <v>6577</v>
      </c>
      <c r="U404">
        <v>19558</v>
      </c>
      <c r="V404">
        <v>0</v>
      </c>
      <c r="W404" t="s">
        <v>42</v>
      </c>
      <c r="X404" t="s">
        <v>43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4</v>
      </c>
      <c r="AI404">
        <v>4</v>
      </c>
      <c r="AJ404">
        <v>4</v>
      </c>
    </row>
    <row r="405" spans="1:36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tr">
        <v>no</v>
      </c>
      <c r="S405" t="s">
        <v>48</v>
      </c>
      <c r="T405">
        <v>8392</v>
      </c>
      <c r="U405">
        <v>19566</v>
      </c>
      <c r="V405">
        <v>1</v>
      </c>
      <c r="W405" t="s">
        <v>42</v>
      </c>
      <c r="X405" t="s">
        <v>43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7</v>
      </c>
      <c r="AI405">
        <v>0</v>
      </c>
      <c r="AJ405">
        <v>7</v>
      </c>
    </row>
    <row r="406" spans="1:36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tr">
        <v>no</v>
      </c>
      <c r="S406" t="s">
        <v>52</v>
      </c>
      <c r="T406">
        <v>4558</v>
      </c>
      <c r="U406">
        <v>13535</v>
      </c>
      <c r="V406">
        <v>1</v>
      </c>
      <c r="W406" t="s">
        <v>42</v>
      </c>
      <c r="X406" t="s">
        <v>43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1</v>
      </c>
      <c r="AJ406">
        <v>8</v>
      </c>
    </row>
    <row r="407" spans="1:36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tr">
        <v>no</v>
      </c>
      <c r="S407" t="s">
        <v>48</v>
      </c>
      <c r="T407">
        <v>4031</v>
      </c>
      <c r="U407">
        <v>9396</v>
      </c>
      <c r="V407">
        <v>5</v>
      </c>
      <c r="W407" t="s">
        <v>42</v>
      </c>
      <c r="X407" t="s">
        <v>43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2</v>
      </c>
      <c r="AI407">
        <v>0</v>
      </c>
      <c r="AJ407">
        <v>2</v>
      </c>
    </row>
    <row r="408" spans="1:36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tr">
        <v>yes</v>
      </c>
      <c r="S408" t="s">
        <v>48</v>
      </c>
      <c r="T408">
        <v>7969</v>
      </c>
      <c r="U408">
        <v>19609</v>
      </c>
      <c r="V408">
        <v>2</v>
      </c>
      <c r="W408" t="s">
        <v>42</v>
      </c>
      <c r="X408" t="s">
        <v>35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4</v>
      </c>
      <c r="AI408">
        <v>0</v>
      </c>
      <c r="AJ408">
        <v>4</v>
      </c>
    </row>
    <row r="409" spans="1:36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tr">
        <v>yes</v>
      </c>
      <c r="S409" t="s">
        <v>48</v>
      </c>
      <c r="T409">
        <v>2654</v>
      </c>
      <c r="U409">
        <v>9655</v>
      </c>
      <c r="V409">
        <v>3</v>
      </c>
      <c r="W409" t="s">
        <v>42</v>
      </c>
      <c r="X409" t="s">
        <v>43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2</v>
      </c>
      <c r="AI409">
        <v>0</v>
      </c>
      <c r="AJ409">
        <v>2</v>
      </c>
    </row>
    <row r="410" spans="1:36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tr">
        <v>yes</v>
      </c>
      <c r="S410" t="s">
        <v>48</v>
      </c>
      <c r="T410">
        <v>16555</v>
      </c>
      <c r="U410">
        <v>10310</v>
      </c>
      <c r="V410">
        <v>2</v>
      </c>
      <c r="W410" t="s">
        <v>42</v>
      </c>
      <c r="X410" t="s">
        <v>43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</v>
      </c>
      <c r="AI410">
        <v>1</v>
      </c>
      <c r="AJ410">
        <v>4</v>
      </c>
    </row>
    <row r="411" spans="1:36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tr">
        <v>yes</v>
      </c>
      <c r="S411" t="s">
        <v>52</v>
      </c>
      <c r="T411">
        <v>4556</v>
      </c>
      <c r="U411">
        <v>12932</v>
      </c>
      <c r="V411">
        <v>2</v>
      </c>
      <c r="W411" t="s">
        <v>42</v>
      </c>
      <c r="X411" t="s">
        <v>43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4</v>
      </c>
      <c r="AI411">
        <v>0</v>
      </c>
      <c r="AJ411">
        <v>2</v>
      </c>
    </row>
    <row r="412" spans="1:36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tr">
        <v>yes</v>
      </c>
      <c r="S412" t="s">
        <v>41</v>
      </c>
      <c r="T412">
        <v>6091</v>
      </c>
      <c r="U412">
        <v>24793</v>
      </c>
      <c r="V412">
        <v>2</v>
      </c>
      <c r="W412" t="s">
        <v>42</v>
      </c>
      <c r="X412" t="s">
        <v>43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4</v>
      </c>
      <c r="AI412">
        <v>0</v>
      </c>
      <c r="AJ412">
        <v>2</v>
      </c>
    </row>
    <row r="413" spans="1:36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tr">
        <v>no</v>
      </c>
      <c r="S413" t="s">
        <v>48</v>
      </c>
      <c r="T413">
        <v>19566</v>
      </c>
      <c r="U413">
        <v>3854</v>
      </c>
      <c r="V413">
        <v>5</v>
      </c>
      <c r="W413" t="s">
        <v>42</v>
      </c>
      <c r="X413" t="s">
        <v>43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8</v>
      </c>
      <c r="AI413">
        <v>11</v>
      </c>
      <c r="AJ413">
        <v>10</v>
      </c>
    </row>
    <row r="414" spans="1:36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tr">
        <v>yes</v>
      </c>
      <c r="S414" t="s">
        <v>52</v>
      </c>
      <c r="T414">
        <v>4810</v>
      </c>
      <c r="U414">
        <v>26314</v>
      </c>
      <c r="V414">
        <v>2</v>
      </c>
      <c r="W414" t="s">
        <v>42</v>
      </c>
      <c r="X414" t="s">
        <v>43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7</v>
      </c>
      <c r="AI414">
        <v>0</v>
      </c>
      <c r="AJ414">
        <v>8</v>
      </c>
    </row>
    <row r="415" spans="1:36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tr">
        <v>yes</v>
      </c>
      <c r="S415" t="s">
        <v>48</v>
      </c>
      <c r="T415">
        <v>4523</v>
      </c>
      <c r="U415">
        <v>4386</v>
      </c>
      <c r="V415">
        <v>0</v>
      </c>
      <c r="W415" t="s">
        <v>42</v>
      </c>
      <c r="X415" t="s">
        <v>43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5</v>
      </c>
      <c r="AI415">
        <v>0</v>
      </c>
      <c r="AJ415">
        <v>4</v>
      </c>
    </row>
    <row r="416" spans="1:36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tr">
        <v>no</v>
      </c>
      <c r="S416" t="s">
        <v>41</v>
      </c>
      <c r="T416">
        <v>3202</v>
      </c>
      <c r="U416">
        <v>21972</v>
      </c>
      <c r="V416">
        <v>1</v>
      </c>
      <c r="W416" t="s">
        <v>42</v>
      </c>
      <c r="X416" t="s">
        <v>35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3</v>
      </c>
      <c r="AI416">
        <v>1</v>
      </c>
      <c r="AJ416">
        <v>4</v>
      </c>
    </row>
    <row r="417" spans="1:36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tr">
        <v>yes</v>
      </c>
      <c r="S417" t="s">
        <v>52</v>
      </c>
      <c r="T417">
        <v>2351</v>
      </c>
      <c r="U417">
        <v>12253</v>
      </c>
      <c r="V417">
        <v>0</v>
      </c>
      <c r="W417" t="s">
        <v>42</v>
      </c>
      <c r="X417" t="s">
        <v>43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2</v>
      </c>
      <c r="AI417">
        <v>1</v>
      </c>
      <c r="AJ417">
        <v>0</v>
      </c>
    </row>
    <row r="418" spans="1:36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tr">
        <v>yes</v>
      </c>
      <c r="S418" t="s">
        <v>48</v>
      </c>
      <c r="T418">
        <v>1702</v>
      </c>
      <c r="U418">
        <v>12106</v>
      </c>
      <c r="V418">
        <v>1</v>
      </c>
      <c r="W418" t="s">
        <v>42</v>
      </c>
      <c r="X418" t="s">
        <v>35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</row>
    <row r="419" spans="1:36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tr">
        <v>yes</v>
      </c>
      <c r="S419" t="s">
        <v>48</v>
      </c>
      <c r="T419">
        <v>18041</v>
      </c>
      <c r="U419">
        <v>13022</v>
      </c>
      <c r="V419">
        <v>0</v>
      </c>
      <c r="W419" t="s">
        <v>42</v>
      </c>
      <c r="X419" t="s">
        <v>43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15</v>
      </c>
      <c r="AI419">
        <v>1</v>
      </c>
      <c r="AJ419">
        <v>12</v>
      </c>
    </row>
    <row r="420" spans="1:36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tr">
        <v>yes</v>
      </c>
      <c r="S420" t="s">
        <v>52</v>
      </c>
      <c r="T420">
        <v>2886</v>
      </c>
      <c r="U420">
        <v>3032</v>
      </c>
      <c r="V420">
        <v>1</v>
      </c>
      <c r="W420" t="s">
        <v>42</v>
      </c>
      <c r="X420" t="s">
        <v>43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2</v>
      </c>
      <c r="AI420">
        <v>0</v>
      </c>
      <c r="AJ420">
        <v>2</v>
      </c>
    </row>
    <row r="421" spans="1:36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tr">
        <v>yes</v>
      </c>
      <c r="S421" t="s">
        <v>48</v>
      </c>
      <c r="T421">
        <v>2097</v>
      </c>
      <c r="U421">
        <v>16734</v>
      </c>
      <c r="V421">
        <v>4</v>
      </c>
      <c r="W421" t="s">
        <v>42</v>
      </c>
      <c r="X421" t="s">
        <v>43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3</v>
      </c>
      <c r="AI421">
        <v>1</v>
      </c>
      <c r="AJ421">
        <v>4</v>
      </c>
    </row>
    <row r="422" spans="1:36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tr">
        <v>yes</v>
      </c>
      <c r="S422" t="s">
        <v>48</v>
      </c>
      <c r="T422">
        <v>11935</v>
      </c>
      <c r="U422">
        <v>21526</v>
      </c>
      <c r="V422">
        <v>1</v>
      </c>
      <c r="W422" t="s">
        <v>42</v>
      </c>
      <c r="X422" t="s">
        <v>43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2</v>
      </c>
      <c r="AI422">
        <v>0</v>
      </c>
      <c r="AJ422">
        <v>7</v>
      </c>
    </row>
    <row r="423" spans="1:36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tr">
        <v>no</v>
      </c>
      <c r="S423" t="s">
        <v>48</v>
      </c>
      <c r="T423">
        <v>2546</v>
      </c>
      <c r="U423">
        <v>18300</v>
      </c>
      <c r="V423">
        <v>5</v>
      </c>
      <c r="W423" t="s">
        <v>42</v>
      </c>
      <c r="X423" t="s">
        <v>43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2</v>
      </c>
      <c r="AI423">
        <v>1</v>
      </c>
      <c r="AJ423">
        <v>1</v>
      </c>
    </row>
    <row r="424" spans="1:36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tr">
        <v>yes</v>
      </c>
      <c r="S424" t="s">
        <v>41</v>
      </c>
      <c r="T424">
        <v>2564</v>
      </c>
      <c r="U424">
        <v>18437</v>
      </c>
      <c r="V424">
        <v>1</v>
      </c>
      <c r="W424" t="s">
        <v>42</v>
      </c>
      <c r="X424" t="s">
        <v>43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</row>
    <row r="425" spans="1:36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tr">
        <v>no</v>
      </c>
      <c r="S425" t="s">
        <v>48</v>
      </c>
      <c r="T425">
        <v>8412</v>
      </c>
      <c r="U425">
        <v>2890</v>
      </c>
      <c r="V425">
        <v>0</v>
      </c>
      <c r="W425" t="s">
        <v>42</v>
      </c>
      <c r="X425" t="s">
        <v>43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8</v>
      </c>
      <c r="AI425">
        <v>7</v>
      </c>
      <c r="AJ425">
        <v>8</v>
      </c>
    </row>
    <row r="426" spans="1:36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tr">
        <v>yes</v>
      </c>
      <c r="S426" t="s">
        <v>52</v>
      </c>
      <c r="T426">
        <v>14118</v>
      </c>
      <c r="U426">
        <v>22102</v>
      </c>
      <c r="V426">
        <v>3</v>
      </c>
      <c r="W426" t="s">
        <v>42</v>
      </c>
      <c r="X426" t="s">
        <v>43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0</v>
      </c>
      <c r="AI426">
        <v>0</v>
      </c>
      <c r="AJ426">
        <v>0</v>
      </c>
    </row>
    <row r="427" spans="1:36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tr">
        <v>yes</v>
      </c>
      <c r="S427" t="s">
        <v>48</v>
      </c>
      <c r="T427">
        <v>17046</v>
      </c>
      <c r="U427">
        <v>9314</v>
      </c>
      <c r="V427">
        <v>0</v>
      </c>
      <c r="W427" t="s">
        <v>42</v>
      </c>
      <c r="X427" t="s">
        <v>43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10</v>
      </c>
      <c r="AI427">
        <v>15</v>
      </c>
      <c r="AJ427">
        <v>7</v>
      </c>
    </row>
    <row r="428" spans="1:36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tr">
        <v>yes</v>
      </c>
      <c r="S428" t="s">
        <v>41</v>
      </c>
      <c r="T428">
        <v>2564</v>
      </c>
      <c r="U428">
        <v>7181</v>
      </c>
      <c r="V428">
        <v>0</v>
      </c>
      <c r="W428" t="s">
        <v>42</v>
      </c>
      <c r="X428" t="s">
        <v>43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7</v>
      </c>
      <c r="AI428">
        <v>6</v>
      </c>
      <c r="AJ428">
        <v>7</v>
      </c>
    </row>
    <row r="429" spans="1:36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tr">
        <v>no</v>
      </c>
      <c r="S429" t="s">
        <v>48</v>
      </c>
      <c r="T429">
        <v>10266</v>
      </c>
      <c r="U429">
        <v>2845</v>
      </c>
      <c r="V429">
        <v>4</v>
      </c>
      <c r="W429" t="s">
        <v>42</v>
      </c>
      <c r="X429" t="s">
        <v>43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13</v>
      </c>
      <c r="AI429">
        <v>13</v>
      </c>
      <c r="AJ429">
        <v>11</v>
      </c>
    </row>
    <row r="430" spans="1:36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tr">
        <v>yes</v>
      </c>
      <c r="S430" t="s">
        <v>52</v>
      </c>
      <c r="T430">
        <v>5070</v>
      </c>
      <c r="U430">
        <v>7389</v>
      </c>
      <c r="V430">
        <v>5</v>
      </c>
      <c r="W430" t="s">
        <v>42</v>
      </c>
      <c r="X430" t="s">
        <v>43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0</v>
      </c>
      <c r="AI430">
        <v>0</v>
      </c>
      <c r="AJ430">
        <v>4</v>
      </c>
    </row>
    <row r="431" spans="1:36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tr">
        <v>yes</v>
      </c>
      <c r="S431" t="s">
        <v>48</v>
      </c>
      <c r="T431">
        <v>17861</v>
      </c>
      <c r="U431">
        <v>2288</v>
      </c>
      <c r="V431">
        <v>6</v>
      </c>
      <c r="W431" t="s">
        <v>42</v>
      </c>
      <c r="X431" t="s">
        <v>43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</v>
      </c>
      <c r="AI431">
        <v>0</v>
      </c>
      <c r="AJ431">
        <v>1</v>
      </c>
    </row>
    <row r="432" spans="1:36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tr">
        <v>yes</v>
      </c>
      <c r="S432" t="s">
        <v>41</v>
      </c>
      <c r="T432">
        <v>4230</v>
      </c>
      <c r="U432">
        <v>19225</v>
      </c>
      <c r="V432">
        <v>0</v>
      </c>
      <c r="W432" t="s">
        <v>42</v>
      </c>
      <c r="X432" t="s">
        <v>43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4</v>
      </c>
      <c r="AI432">
        <v>4</v>
      </c>
      <c r="AJ432">
        <v>3</v>
      </c>
    </row>
    <row r="433" spans="1:36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tr">
        <v>yes</v>
      </c>
      <c r="S433" t="s">
        <v>41</v>
      </c>
      <c r="T433">
        <v>3780</v>
      </c>
      <c r="U433">
        <v>23428</v>
      </c>
      <c r="V433">
        <v>7</v>
      </c>
      <c r="W433" t="s">
        <v>42</v>
      </c>
      <c r="X433" t="s">
        <v>43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0</v>
      </c>
      <c r="AI433">
        <v>0</v>
      </c>
      <c r="AJ433">
        <v>0</v>
      </c>
    </row>
    <row r="434" spans="1:36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tr">
        <v>yes</v>
      </c>
      <c r="S434" t="s">
        <v>52</v>
      </c>
      <c r="T434">
        <v>2768</v>
      </c>
      <c r="U434">
        <v>8416</v>
      </c>
      <c r="V434">
        <v>3</v>
      </c>
      <c r="W434" t="s">
        <v>42</v>
      </c>
      <c r="X434" t="s">
        <v>43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3</v>
      </c>
      <c r="AI434">
        <v>5</v>
      </c>
      <c r="AJ434">
        <v>7</v>
      </c>
    </row>
    <row r="435" spans="1:36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tr">
        <v>yes</v>
      </c>
      <c r="S435" t="s">
        <v>48</v>
      </c>
      <c r="T435">
        <v>9071</v>
      </c>
      <c r="U435">
        <v>11563</v>
      </c>
      <c r="V435">
        <v>2</v>
      </c>
      <c r="W435" t="s">
        <v>42</v>
      </c>
      <c r="X435" t="s">
        <v>35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2</v>
      </c>
      <c r="AI435">
        <v>1</v>
      </c>
      <c r="AJ435">
        <v>2</v>
      </c>
    </row>
    <row r="436" spans="1:36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tr">
        <v>no</v>
      </c>
      <c r="S436" t="s">
        <v>52</v>
      </c>
      <c r="T436">
        <v>10648</v>
      </c>
      <c r="U436">
        <v>14394</v>
      </c>
      <c r="V436">
        <v>1</v>
      </c>
      <c r="W436" t="s">
        <v>42</v>
      </c>
      <c r="X436" t="s">
        <v>43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8</v>
      </c>
      <c r="AI436">
        <v>0</v>
      </c>
      <c r="AJ436">
        <v>8</v>
      </c>
    </row>
    <row r="437" spans="1:36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tr">
        <v>yes</v>
      </c>
      <c r="S437" t="s">
        <v>48</v>
      </c>
      <c r="T437">
        <v>13610</v>
      </c>
      <c r="U437">
        <v>24619</v>
      </c>
      <c r="V437">
        <v>7</v>
      </c>
      <c r="W437" t="s">
        <v>42</v>
      </c>
      <c r="X437" t="s">
        <v>35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6</v>
      </c>
      <c r="AI437">
        <v>7</v>
      </c>
      <c r="AJ437">
        <v>7</v>
      </c>
    </row>
    <row r="438" spans="1:36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tr">
        <v>yes</v>
      </c>
      <c r="S438" t="s">
        <v>52</v>
      </c>
      <c r="T438">
        <v>3408</v>
      </c>
      <c r="U438">
        <v>6705</v>
      </c>
      <c r="V438">
        <v>7</v>
      </c>
      <c r="W438" t="s">
        <v>42</v>
      </c>
      <c r="X438" t="s">
        <v>43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3</v>
      </c>
      <c r="AI438">
        <v>1</v>
      </c>
      <c r="AJ438">
        <v>3</v>
      </c>
    </row>
    <row r="439" spans="1:36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tr">
        <v>no</v>
      </c>
      <c r="S439" t="s">
        <v>41</v>
      </c>
      <c r="T439">
        <v>2983</v>
      </c>
      <c r="U439">
        <v>18398</v>
      </c>
      <c r="V439">
        <v>0</v>
      </c>
      <c r="W439" t="s">
        <v>42</v>
      </c>
      <c r="X439" t="s">
        <v>43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2</v>
      </c>
      <c r="AI439">
        <v>1</v>
      </c>
      <c r="AJ439">
        <v>2</v>
      </c>
    </row>
    <row r="440" spans="1:36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tr">
        <v>yes</v>
      </c>
      <c r="S440" t="s">
        <v>48</v>
      </c>
      <c r="T440">
        <v>7632</v>
      </c>
      <c r="U440">
        <v>14295</v>
      </c>
      <c r="V440">
        <v>4</v>
      </c>
      <c r="W440" t="s">
        <v>42</v>
      </c>
      <c r="X440" t="s">
        <v>35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7</v>
      </c>
      <c r="AI440">
        <v>0</v>
      </c>
      <c r="AJ440">
        <v>0</v>
      </c>
    </row>
    <row r="441" spans="1:36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tr">
        <v>yes</v>
      </c>
      <c r="S441" t="s">
        <v>48</v>
      </c>
      <c r="T441">
        <v>9824</v>
      </c>
      <c r="U441">
        <v>22908</v>
      </c>
      <c r="V441">
        <v>3</v>
      </c>
      <c r="W441" t="s">
        <v>42</v>
      </c>
      <c r="X441" t="s">
        <v>43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0</v>
      </c>
      <c r="AI441">
        <v>0</v>
      </c>
      <c r="AJ441">
        <v>0</v>
      </c>
    </row>
    <row r="442" spans="1:36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tr">
        <v>no</v>
      </c>
      <c r="S442" t="s">
        <v>52</v>
      </c>
      <c r="T442">
        <v>9950</v>
      </c>
      <c r="U442">
        <v>11533</v>
      </c>
      <c r="V442">
        <v>9</v>
      </c>
      <c r="W442" t="s">
        <v>42</v>
      </c>
      <c r="X442" t="s">
        <v>35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2</v>
      </c>
      <c r="AI442">
        <v>0</v>
      </c>
      <c r="AJ442">
        <v>2</v>
      </c>
    </row>
    <row r="443" spans="1:36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tr">
        <v>yes</v>
      </c>
      <c r="S443" t="s">
        <v>48</v>
      </c>
      <c r="T443">
        <v>2093</v>
      </c>
      <c r="U443">
        <v>9260</v>
      </c>
      <c r="V443">
        <v>4</v>
      </c>
      <c r="W443" t="s">
        <v>42</v>
      </c>
      <c r="X443" t="s">
        <v>43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2</v>
      </c>
      <c r="AI443">
        <v>2</v>
      </c>
      <c r="AJ443">
        <v>0</v>
      </c>
    </row>
    <row r="444" spans="1:36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tr">
        <v>yes</v>
      </c>
      <c r="S444" t="s">
        <v>41</v>
      </c>
      <c r="T444">
        <v>9980</v>
      </c>
      <c r="U444">
        <v>15318</v>
      </c>
      <c r="V444">
        <v>1</v>
      </c>
      <c r="W444" t="s">
        <v>42</v>
      </c>
      <c r="X444" t="s">
        <v>43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3</v>
      </c>
      <c r="AI444">
        <v>9</v>
      </c>
      <c r="AJ444">
        <v>7</v>
      </c>
    </row>
    <row r="445" spans="1:36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tr">
        <v>yes</v>
      </c>
      <c r="S445" t="s">
        <v>41</v>
      </c>
      <c r="T445">
        <v>3894</v>
      </c>
      <c r="U445">
        <v>9129</v>
      </c>
      <c r="V445">
        <v>5</v>
      </c>
      <c r="W445" t="s">
        <v>42</v>
      </c>
      <c r="X445" t="s">
        <v>43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1</v>
      </c>
      <c r="AJ445">
        <v>2</v>
      </c>
    </row>
    <row r="446" spans="1:36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tr">
        <v>yes</v>
      </c>
      <c r="S446" t="s">
        <v>48</v>
      </c>
      <c r="T446">
        <v>4051</v>
      </c>
      <c r="U446">
        <v>19658</v>
      </c>
      <c r="V446">
        <v>2</v>
      </c>
      <c r="W446" t="s">
        <v>42</v>
      </c>
      <c r="X446" t="s">
        <v>43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7</v>
      </c>
      <c r="AI446">
        <v>6</v>
      </c>
      <c r="AJ446">
        <v>7</v>
      </c>
    </row>
    <row r="447" spans="1:36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tr">
        <v>no</v>
      </c>
      <c r="S447" t="s">
        <v>41</v>
      </c>
      <c r="T447">
        <v>16835</v>
      </c>
      <c r="U447">
        <v>9873</v>
      </c>
      <c r="V447">
        <v>3</v>
      </c>
      <c r="W447" t="s">
        <v>42</v>
      </c>
      <c r="X447" t="s">
        <v>43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9</v>
      </c>
      <c r="AI447">
        <v>7</v>
      </c>
      <c r="AJ447">
        <v>7</v>
      </c>
    </row>
    <row r="448" spans="1:36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tr">
        <v>yes</v>
      </c>
      <c r="S448" t="s">
        <v>41</v>
      </c>
      <c r="T448">
        <v>6230</v>
      </c>
      <c r="U448">
        <v>13430</v>
      </c>
      <c r="V448">
        <v>7</v>
      </c>
      <c r="W448" t="s">
        <v>42</v>
      </c>
      <c r="X448" t="s">
        <v>43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3</v>
      </c>
      <c r="AI448">
        <v>1</v>
      </c>
      <c r="AJ448">
        <v>10</v>
      </c>
    </row>
    <row r="449" spans="1:36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tr">
        <v>yes</v>
      </c>
      <c r="S449" t="s">
        <v>48</v>
      </c>
      <c r="T449">
        <v>4717</v>
      </c>
      <c r="U449">
        <v>18659</v>
      </c>
      <c r="V449">
        <v>9</v>
      </c>
      <c r="W449" t="s">
        <v>42</v>
      </c>
      <c r="X449" t="s">
        <v>43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9</v>
      </c>
      <c r="AI449">
        <v>6</v>
      </c>
      <c r="AJ449">
        <v>9</v>
      </c>
    </row>
    <row r="450" spans="1:36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tr">
        <v>yes</v>
      </c>
      <c r="S450" t="s">
        <v>41</v>
      </c>
      <c r="T450">
        <v>13237</v>
      </c>
      <c r="U450">
        <v>20364</v>
      </c>
      <c r="V450">
        <v>7</v>
      </c>
      <c r="W450" t="s">
        <v>42</v>
      </c>
      <c r="X450" t="s">
        <v>43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6</v>
      </c>
      <c r="AI450">
        <v>5</v>
      </c>
      <c r="AJ450">
        <v>13</v>
      </c>
    </row>
    <row r="451" spans="1:36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tr">
        <v>yes</v>
      </c>
      <c r="S451" t="s">
        <v>48</v>
      </c>
      <c r="T451">
        <v>3755</v>
      </c>
      <c r="U451">
        <v>17872</v>
      </c>
      <c r="V451">
        <v>1</v>
      </c>
      <c r="W451" t="s">
        <v>42</v>
      </c>
      <c r="X451" t="s">
        <v>43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3</v>
      </c>
      <c r="AI451">
        <v>0</v>
      </c>
      <c r="AJ451">
        <v>7</v>
      </c>
    </row>
    <row r="452" spans="1:36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tr">
        <v>yes</v>
      </c>
      <c r="S452" t="s">
        <v>41</v>
      </c>
      <c r="T452">
        <v>6582</v>
      </c>
      <c r="U452">
        <v>8346</v>
      </c>
      <c r="V452">
        <v>4</v>
      </c>
      <c r="W452" t="s">
        <v>42</v>
      </c>
      <c r="X452" t="s">
        <v>35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5</v>
      </c>
      <c r="AI452">
        <v>0</v>
      </c>
      <c r="AJ452">
        <v>5</v>
      </c>
    </row>
    <row r="453" spans="1:36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tr">
        <v>no</v>
      </c>
      <c r="S453" t="s">
        <v>48</v>
      </c>
      <c r="T453">
        <v>7406</v>
      </c>
      <c r="U453">
        <v>6950</v>
      </c>
      <c r="V453">
        <v>1</v>
      </c>
      <c r="W453" t="s">
        <v>42</v>
      </c>
      <c r="X453" t="s">
        <v>35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9</v>
      </c>
      <c r="AI453">
        <v>5</v>
      </c>
      <c r="AJ453">
        <v>8</v>
      </c>
    </row>
    <row r="454" spans="1:36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tr">
        <v>no</v>
      </c>
      <c r="S454" t="s">
        <v>48</v>
      </c>
      <c r="T454">
        <v>4805</v>
      </c>
      <c r="U454">
        <v>16177</v>
      </c>
      <c r="V454">
        <v>0</v>
      </c>
      <c r="W454" t="s">
        <v>42</v>
      </c>
      <c r="X454" t="s">
        <v>43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7</v>
      </c>
      <c r="AI454">
        <v>3</v>
      </c>
      <c r="AJ454">
        <v>7</v>
      </c>
    </row>
    <row r="455" spans="1:36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tr">
        <v>yes</v>
      </c>
      <c r="S455" t="s">
        <v>52</v>
      </c>
      <c r="T455">
        <v>2741</v>
      </c>
      <c r="U455">
        <v>22808</v>
      </c>
      <c r="V455">
        <v>0</v>
      </c>
      <c r="W455" t="s">
        <v>42</v>
      </c>
      <c r="X455" t="s">
        <v>35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7</v>
      </c>
      <c r="AI455">
        <v>1</v>
      </c>
      <c r="AJ455">
        <v>0</v>
      </c>
    </row>
    <row r="456" spans="1:36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tr">
        <v>yes</v>
      </c>
      <c r="S456" t="s">
        <v>52</v>
      </c>
      <c r="T456">
        <v>4262</v>
      </c>
      <c r="U456">
        <v>22645</v>
      </c>
      <c r="V456">
        <v>4</v>
      </c>
      <c r="W456" t="s">
        <v>42</v>
      </c>
      <c r="X456" t="s">
        <v>43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2</v>
      </c>
      <c r="AI456">
        <v>1</v>
      </c>
      <c r="AJ456">
        <v>2</v>
      </c>
    </row>
    <row r="457" spans="1:36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tr">
        <v>yes</v>
      </c>
      <c r="S457" t="s">
        <v>52</v>
      </c>
      <c r="T457">
        <v>16184</v>
      </c>
      <c r="U457">
        <v>22578</v>
      </c>
      <c r="V457">
        <v>4</v>
      </c>
      <c r="W457" t="s">
        <v>42</v>
      </c>
      <c r="X457" t="s">
        <v>43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1</v>
      </c>
      <c r="AI457">
        <v>0</v>
      </c>
      <c r="AJ457">
        <v>5</v>
      </c>
    </row>
    <row r="458" spans="1:36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tr">
        <v>yes</v>
      </c>
      <c r="S458" t="s">
        <v>52</v>
      </c>
      <c r="T458">
        <v>11557</v>
      </c>
      <c r="U458">
        <v>25291</v>
      </c>
      <c r="V458">
        <v>9</v>
      </c>
      <c r="W458" t="s">
        <v>42</v>
      </c>
      <c r="X458" t="s">
        <v>43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4</v>
      </c>
      <c r="AI458">
        <v>0</v>
      </c>
      <c r="AJ458">
        <v>1</v>
      </c>
    </row>
    <row r="459" spans="1:36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tr">
        <v>no</v>
      </c>
      <c r="S459" t="s">
        <v>41</v>
      </c>
      <c r="T459">
        <v>1878</v>
      </c>
      <c r="U459">
        <v>8059</v>
      </c>
      <c r="V459">
        <v>1</v>
      </c>
      <c r="W459" t="s">
        <v>42</v>
      </c>
      <c r="X459" t="s">
        <v>35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</row>
    <row r="460" spans="1:36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tr">
        <v>no</v>
      </c>
      <c r="S460" t="s">
        <v>52</v>
      </c>
      <c r="T460">
        <v>10932</v>
      </c>
      <c r="U460">
        <v>11373</v>
      </c>
      <c r="V460">
        <v>3</v>
      </c>
      <c r="W460" t="s">
        <v>42</v>
      </c>
      <c r="X460" t="s">
        <v>43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0</v>
      </c>
      <c r="AI460">
        <v>0</v>
      </c>
      <c r="AJ460">
        <v>1</v>
      </c>
    </row>
    <row r="461" spans="1:36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tr">
        <v>yes</v>
      </c>
      <c r="S461" t="s">
        <v>41</v>
      </c>
      <c r="T461">
        <v>6811</v>
      </c>
      <c r="U461">
        <v>2112</v>
      </c>
      <c r="V461">
        <v>2</v>
      </c>
      <c r="W461" t="s">
        <v>42</v>
      </c>
      <c r="X461" t="s">
        <v>35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7</v>
      </c>
      <c r="AI461">
        <v>0</v>
      </c>
      <c r="AJ461">
        <v>7</v>
      </c>
    </row>
    <row r="462" spans="1:36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tr">
        <v>yes</v>
      </c>
      <c r="S462" t="s">
        <v>52</v>
      </c>
      <c r="T462">
        <v>4306</v>
      </c>
      <c r="U462">
        <v>4267</v>
      </c>
      <c r="V462">
        <v>5</v>
      </c>
      <c r="W462" t="s">
        <v>42</v>
      </c>
      <c r="X462" t="s">
        <v>43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0</v>
      </c>
      <c r="AI462">
        <v>0</v>
      </c>
      <c r="AJ462">
        <v>0</v>
      </c>
    </row>
    <row r="463" spans="1:36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tr">
        <v>yes</v>
      </c>
      <c r="S463" t="s">
        <v>41</v>
      </c>
      <c r="T463">
        <v>4859</v>
      </c>
      <c r="U463">
        <v>6698</v>
      </c>
      <c r="V463">
        <v>1</v>
      </c>
      <c r="W463" t="s">
        <v>42</v>
      </c>
      <c r="X463" t="s">
        <v>43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4</v>
      </c>
      <c r="AI463">
        <v>0</v>
      </c>
      <c r="AJ463">
        <v>3</v>
      </c>
    </row>
    <row r="464" spans="1:36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tr">
        <v>yes</v>
      </c>
      <c r="S464" t="s">
        <v>41</v>
      </c>
      <c r="T464">
        <v>5337</v>
      </c>
      <c r="U464">
        <v>19921</v>
      </c>
      <c r="V464">
        <v>1</v>
      </c>
      <c r="W464" t="s">
        <v>42</v>
      </c>
      <c r="X464" t="s">
        <v>43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7</v>
      </c>
      <c r="AI464">
        <v>5</v>
      </c>
      <c r="AJ464">
        <v>7</v>
      </c>
    </row>
    <row r="465" spans="1:36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tr">
        <v>yes</v>
      </c>
      <c r="S465" t="s">
        <v>41</v>
      </c>
      <c r="T465">
        <v>2340</v>
      </c>
      <c r="U465">
        <v>23213</v>
      </c>
      <c r="V465">
        <v>1</v>
      </c>
      <c r="W465" t="s">
        <v>42</v>
      </c>
      <c r="X465" t="s">
        <v>35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</row>
    <row r="466" spans="1:36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tr">
        <v>yes</v>
      </c>
      <c r="S466" t="s">
        <v>41</v>
      </c>
      <c r="T466">
        <v>7491</v>
      </c>
      <c r="U466">
        <v>23848</v>
      </c>
      <c r="V466">
        <v>4</v>
      </c>
      <c r="W466" t="s">
        <v>42</v>
      </c>
      <c r="X466" t="s">
        <v>43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5</v>
      </c>
      <c r="AI466">
        <v>1</v>
      </c>
      <c r="AJ466">
        <v>2</v>
      </c>
    </row>
    <row r="467" spans="1:36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tr">
        <v>yes</v>
      </c>
      <c r="S467" t="s">
        <v>48</v>
      </c>
      <c r="T467">
        <v>10527</v>
      </c>
      <c r="U467">
        <v>8984</v>
      </c>
      <c r="V467">
        <v>5</v>
      </c>
      <c r="W467" t="s">
        <v>42</v>
      </c>
      <c r="X467" t="s">
        <v>43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</v>
      </c>
      <c r="AI467">
        <v>1</v>
      </c>
      <c r="AJ467">
        <v>2</v>
      </c>
    </row>
    <row r="468" spans="1:36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tr">
        <v>no</v>
      </c>
      <c r="S468" t="s">
        <v>48</v>
      </c>
      <c r="T468">
        <v>16595</v>
      </c>
      <c r="U468">
        <v>5626</v>
      </c>
      <c r="V468">
        <v>7</v>
      </c>
      <c r="W468" t="s">
        <v>42</v>
      </c>
      <c r="X468" t="s">
        <v>43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16</v>
      </c>
      <c r="AI468">
        <v>11</v>
      </c>
      <c r="AJ468">
        <v>8</v>
      </c>
    </row>
    <row r="469" spans="1:36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tr">
        <v>no</v>
      </c>
      <c r="S469" t="s">
        <v>52</v>
      </c>
      <c r="T469">
        <v>8834</v>
      </c>
      <c r="U469">
        <v>24666</v>
      </c>
      <c r="V469">
        <v>1</v>
      </c>
      <c r="W469" t="s">
        <v>42</v>
      </c>
      <c r="X469" t="s">
        <v>43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5</v>
      </c>
      <c r="AI469">
        <v>7</v>
      </c>
      <c r="AJ469">
        <v>7</v>
      </c>
    </row>
    <row r="470" spans="1:36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tr">
        <v>no</v>
      </c>
      <c r="S470" t="s">
        <v>52</v>
      </c>
      <c r="T470">
        <v>5577</v>
      </c>
      <c r="U470">
        <v>22087</v>
      </c>
      <c r="V470">
        <v>3</v>
      </c>
      <c r="W470" t="s">
        <v>42</v>
      </c>
      <c r="X470" t="s">
        <v>35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9</v>
      </c>
      <c r="AI470">
        <v>6</v>
      </c>
      <c r="AJ470">
        <v>9</v>
      </c>
    </row>
    <row r="471" spans="1:36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tr">
        <v>yes</v>
      </c>
      <c r="S471" t="s">
        <v>48</v>
      </c>
      <c r="T471">
        <v>4707</v>
      </c>
      <c r="U471">
        <v>23914</v>
      </c>
      <c r="V471">
        <v>8</v>
      </c>
      <c r="W471" t="s">
        <v>42</v>
      </c>
      <c r="X471" t="s">
        <v>43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1</v>
      </c>
      <c r="AJ471">
        <v>2</v>
      </c>
    </row>
    <row r="472" spans="1:36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tr">
        <v>yes</v>
      </c>
      <c r="S472" t="s">
        <v>48</v>
      </c>
      <c r="T472">
        <v>2400</v>
      </c>
      <c r="U472">
        <v>5530</v>
      </c>
      <c r="V472">
        <v>0</v>
      </c>
      <c r="W472" t="s">
        <v>42</v>
      </c>
      <c r="X472" t="s">
        <v>43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2</v>
      </c>
      <c r="AI472">
        <v>2</v>
      </c>
      <c r="AJ472">
        <v>1</v>
      </c>
    </row>
    <row r="473" spans="1:36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tr">
        <v>yes</v>
      </c>
      <c r="S473" t="s">
        <v>48</v>
      </c>
      <c r="T473">
        <v>9824</v>
      </c>
      <c r="U473">
        <v>22174</v>
      </c>
      <c r="V473">
        <v>3</v>
      </c>
      <c r="W473" t="s">
        <v>42</v>
      </c>
      <c r="X473" t="s">
        <v>43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0</v>
      </c>
      <c r="AI473">
        <v>0</v>
      </c>
      <c r="AJ473">
        <v>0</v>
      </c>
    </row>
    <row r="474" spans="1:36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tr">
        <v>no</v>
      </c>
      <c r="S474" t="s">
        <v>48</v>
      </c>
      <c r="T474">
        <v>6447</v>
      </c>
      <c r="U474">
        <v>15701</v>
      </c>
      <c r="V474">
        <v>6</v>
      </c>
      <c r="W474" t="s">
        <v>42</v>
      </c>
      <c r="X474" t="s">
        <v>43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5</v>
      </c>
      <c r="AI474">
        <v>4</v>
      </c>
      <c r="AJ474">
        <v>3</v>
      </c>
    </row>
    <row r="475" spans="1:36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tr">
        <v>yes</v>
      </c>
      <c r="S475" t="s">
        <v>52</v>
      </c>
      <c r="T475">
        <v>19502</v>
      </c>
      <c r="U475">
        <v>2125</v>
      </c>
      <c r="V475">
        <v>1</v>
      </c>
      <c r="W475" t="s">
        <v>42</v>
      </c>
      <c r="X475" t="s">
        <v>35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9</v>
      </c>
      <c r="AI475">
        <v>0</v>
      </c>
      <c r="AJ475">
        <v>9</v>
      </c>
    </row>
    <row r="476" spans="1:36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tr">
        <v>yes</v>
      </c>
      <c r="S476" t="s">
        <v>48</v>
      </c>
      <c r="T476">
        <v>2725</v>
      </c>
      <c r="U476">
        <v>21630</v>
      </c>
      <c r="V476">
        <v>1</v>
      </c>
      <c r="W476" t="s">
        <v>42</v>
      </c>
      <c r="X476" t="s">
        <v>35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5</v>
      </c>
      <c r="AI476">
        <v>1</v>
      </c>
      <c r="AJ476">
        <v>4</v>
      </c>
    </row>
    <row r="477" spans="1:36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tr">
        <v>no</v>
      </c>
      <c r="S477" t="s">
        <v>48</v>
      </c>
      <c r="T477">
        <v>6272</v>
      </c>
      <c r="U477">
        <v>7428</v>
      </c>
      <c r="V477">
        <v>1</v>
      </c>
      <c r="W477" t="s">
        <v>42</v>
      </c>
      <c r="X477" t="s">
        <v>43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3</v>
      </c>
      <c r="AI477">
        <v>1</v>
      </c>
      <c r="AJ477">
        <v>4</v>
      </c>
    </row>
    <row r="478" spans="1:36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tr">
        <v>no</v>
      </c>
      <c r="S478" t="s">
        <v>48</v>
      </c>
      <c r="T478">
        <v>2127</v>
      </c>
      <c r="U478">
        <v>9100</v>
      </c>
      <c r="V478">
        <v>1</v>
      </c>
      <c r="W478" t="s">
        <v>42</v>
      </c>
      <c r="X478" t="s">
        <v>43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</row>
    <row r="479" spans="1:36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tr">
        <v>no</v>
      </c>
      <c r="S479" t="s">
        <v>48</v>
      </c>
      <c r="T479">
        <v>18200</v>
      </c>
      <c r="U479">
        <v>7999</v>
      </c>
      <c r="V479">
        <v>1</v>
      </c>
      <c r="W479" t="s">
        <v>42</v>
      </c>
      <c r="X479" t="s">
        <v>43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5</v>
      </c>
      <c r="AI479">
        <v>10</v>
      </c>
      <c r="AJ479">
        <v>7</v>
      </c>
    </row>
    <row r="480" spans="1:36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tr">
        <v>yes</v>
      </c>
      <c r="S480" t="s">
        <v>48</v>
      </c>
      <c r="T480">
        <v>2096</v>
      </c>
      <c r="U480">
        <v>26376</v>
      </c>
      <c r="V480">
        <v>1</v>
      </c>
      <c r="W480" t="s">
        <v>42</v>
      </c>
      <c r="X480" t="s">
        <v>43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4</v>
      </c>
      <c r="AI480">
        <v>0</v>
      </c>
      <c r="AJ480">
        <v>6</v>
      </c>
    </row>
    <row r="481" spans="1:36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tr">
        <v>yes</v>
      </c>
      <c r="S481" t="s">
        <v>48</v>
      </c>
      <c r="T481">
        <v>2886</v>
      </c>
      <c r="U481">
        <v>14168</v>
      </c>
      <c r="V481">
        <v>1</v>
      </c>
      <c r="W481" t="s">
        <v>42</v>
      </c>
      <c r="X481" t="s">
        <v>35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3</v>
      </c>
      <c r="AI481">
        <v>1</v>
      </c>
      <c r="AJ481">
        <v>2</v>
      </c>
    </row>
    <row r="482" spans="1:36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tr">
        <v>no</v>
      </c>
      <c r="S482" t="s">
        <v>48</v>
      </c>
      <c r="T482">
        <v>2033</v>
      </c>
      <c r="U482">
        <v>14470</v>
      </c>
      <c r="V482">
        <v>1</v>
      </c>
      <c r="W482" t="s">
        <v>42</v>
      </c>
      <c r="X482" t="s">
        <v>43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</row>
    <row r="483" spans="1:36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tr">
        <v>yes</v>
      </c>
      <c r="S483" t="s">
        <v>48</v>
      </c>
      <c r="T483">
        <v>3622</v>
      </c>
      <c r="U483">
        <v>22794</v>
      </c>
      <c r="V483">
        <v>1</v>
      </c>
      <c r="W483" t="s">
        <v>42</v>
      </c>
      <c r="X483" t="s">
        <v>35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5</v>
      </c>
      <c r="AI483">
        <v>1</v>
      </c>
      <c r="AJ483">
        <v>3</v>
      </c>
    </row>
    <row r="484" spans="1:36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tr">
        <v>no</v>
      </c>
      <c r="S484" t="s">
        <v>52</v>
      </c>
      <c r="T484">
        <v>4233</v>
      </c>
      <c r="U484">
        <v>11512</v>
      </c>
      <c r="V484">
        <v>2</v>
      </c>
      <c r="W484" t="s">
        <v>42</v>
      </c>
      <c r="X484" t="s">
        <v>43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1</v>
      </c>
      <c r="AI484">
        <v>1</v>
      </c>
      <c r="AJ484">
        <v>2</v>
      </c>
    </row>
    <row r="485" spans="1:36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tr">
        <v>yes</v>
      </c>
      <c r="S485" t="s">
        <v>41</v>
      </c>
      <c r="T485">
        <v>3681</v>
      </c>
      <c r="U485">
        <v>14004</v>
      </c>
      <c r="V485">
        <v>4</v>
      </c>
      <c r="W485" t="s">
        <v>42</v>
      </c>
      <c r="X485" t="s">
        <v>43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2</v>
      </c>
      <c r="AI485">
        <v>0</v>
      </c>
      <c r="AJ485">
        <v>2</v>
      </c>
    </row>
    <row r="486" spans="1:36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tr">
        <v>yes</v>
      </c>
      <c r="S486" t="s">
        <v>52</v>
      </c>
      <c r="T486">
        <v>5460</v>
      </c>
      <c r="U486">
        <v>6219</v>
      </c>
      <c r="V486">
        <v>4</v>
      </c>
      <c r="W486" t="s">
        <v>42</v>
      </c>
      <c r="X486" t="s">
        <v>43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7</v>
      </c>
      <c r="AI486">
        <v>5</v>
      </c>
      <c r="AJ486">
        <v>7</v>
      </c>
    </row>
    <row r="487" spans="1:36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tr">
        <v>yes</v>
      </c>
      <c r="S487" t="s">
        <v>52</v>
      </c>
      <c r="T487">
        <v>2187</v>
      </c>
      <c r="U487">
        <v>5013</v>
      </c>
      <c r="V487">
        <v>0</v>
      </c>
      <c r="W487" t="s">
        <v>42</v>
      </c>
      <c r="X487" t="s">
        <v>43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3</v>
      </c>
      <c r="AI487">
        <v>0</v>
      </c>
      <c r="AJ487">
        <v>3</v>
      </c>
    </row>
    <row r="488" spans="1:36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tr">
        <v>yes</v>
      </c>
      <c r="S488" t="s">
        <v>48</v>
      </c>
      <c r="T488">
        <v>9602</v>
      </c>
      <c r="U488">
        <v>3010</v>
      </c>
      <c r="V488">
        <v>4</v>
      </c>
      <c r="W488" t="s">
        <v>42</v>
      </c>
      <c r="X488" t="s">
        <v>35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0</v>
      </c>
      <c r="AI488">
        <v>1</v>
      </c>
      <c r="AJ488">
        <v>0</v>
      </c>
    </row>
    <row r="489" spans="1:36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tr">
        <v>no</v>
      </c>
      <c r="S489" t="s">
        <v>41</v>
      </c>
      <c r="T489">
        <v>2836</v>
      </c>
      <c r="U489">
        <v>11757</v>
      </c>
      <c r="V489">
        <v>1</v>
      </c>
      <c r="W489" t="s">
        <v>42</v>
      </c>
      <c r="X489" t="s">
        <v>43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</row>
    <row r="490" spans="1:36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tr">
        <v>yes</v>
      </c>
      <c r="S490" t="s">
        <v>48</v>
      </c>
      <c r="T490">
        <v>4089</v>
      </c>
      <c r="U490">
        <v>5718</v>
      </c>
      <c r="V490">
        <v>1</v>
      </c>
      <c r="W490" t="s">
        <v>42</v>
      </c>
      <c r="X490" t="s">
        <v>43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2</v>
      </c>
      <c r="AI490">
        <v>2</v>
      </c>
      <c r="AJ490">
        <v>2</v>
      </c>
    </row>
    <row r="491" spans="1:36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tr">
        <v>yes</v>
      </c>
      <c r="S491" t="s">
        <v>52</v>
      </c>
      <c r="T491">
        <v>16627</v>
      </c>
      <c r="U491">
        <v>2671</v>
      </c>
      <c r="V491">
        <v>4</v>
      </c>
      <c r="W491" t="s">
        <v>42</v>
      </c>
      <c r="X491" t="s">
        <v>35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0</v>
      </c>
      <c r="AI491">
        <v>0</v>
      </c>
      <c r="AJ491">
        <v>0</v>
      </c>
    </row>
    <row r="492" spans="1:36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tr">
        <v>no</v>
      </c>
      <c r="S492" t="s">
        <v>41</v>
      </c>
      <c r="T492">
        <v>2619</v>
      </c>
      <c r="U492">
        <v>14561</v>
      </c>
      <c r="V492">
        <v>3</v>
      </c>
      <c r="W492" t="s">
        <v>42</v>
      </c>
      <c r="X492" t="s">
        <v>43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0</v>
      </c>
      <c r="AI492">
        <v>0</v>
      </c>
      <c r="AJ492">
        <v>0</v>
      </c>
    </row>
    <row r="493" spans="1:36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tr">
        <v>yes</v>
      </c>
      <c r="S493" t="s">
        <v>52</v>
      </c>
      <c r="T493">
        <v>5679</v>
      </c>
      <c r="U493">
        <v>19627</v>
      </c>
      <c r="V493">
        <v>3</v>
      </c>
      <c r="W493" t="s">
        <v>42</v>
      </c>
      <c r="X493" t="s">
        <v>35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7</v>
      </c>
      <c r="AI493">
        <v>4</v>
      </c>
      <c r="AJ493">
        <v>7</v>
      </c>
    </row>
    <row r="494" spans="1:36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tr">
        <v>no</v>
      </c>
      <c r="S494" t="s">
        <v>48</v>
      </c>
      <c r="T494">
        <v>15402</v>
      </c>
      <c r="U494">
        <v>17997</v>
      </c>
      <c r="V494">
        <v>7</v>
      </c>
      <c r="W494" t="s">
        <v>42</v>
      </c>
      <c r="X494" t="s">
        <v>43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2</v>
      </c>
      <c r="AI494">
        <v>0</v>
      </c>
      <c r="AJ494">
        <v>2</v>
      </c>
    </row>
    <row r="495" spans="1:36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tr">
        <v>yes</v>
      </c>
      <c r="S495" t="s">
        <v>41</v>
      </c>
      <c r="T495">
        <v>5985</v>
      </c>
      <c r="U495">
        <v>26894</v>
      </c>
      <c r="V495">
        <v>4</v>
      </c>
      <c r="W495" t="s">
        <v>42</v>
      </c>
      <c r="X495" t="s">
        <v>43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2</v>
      </c>
      <c r="AI495">
        <v>0</v>
      </c>
      <c r="AJ495">
        <v>2</v>
      </c>
    </row>
    <row r="496" spans="1:36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tr">
        <v>yes</v>
      </c>
      <c r="S496" t="s">
        <v>52</v>
      </c>
      <c r="T496">
        <v>2579</v>
      </c>
      <c r="U496">
        <v>2912</v>
      </c>
      <c r="V496">
        <v>1</v>
      </c>
      <c r="W496" t="s">
        <v>42</v>
      </c>
      <c r="X496" t="s">
        <v>35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2</v>
      </c>
      <c r="AI496">
        <v>0</v>
      </c>
      <c r="AJ496">
        <v>6</v>
      </c>
    </row>
    <row r="497" spans="1:36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tr">
        <v>no</v>
      </c>
      <c r="S497" t="s">
        <v>52</v>
      </c>
      <c r="T497">
        <v>3041</v>
      </c>
      <c r="U497">
        <v>16346</v>
      </c>
      <c r="V497">
        <v>0</v>
      </c>
      <c r="W497" t="s">
        <v>42</v>
      </c>
      <c r="X497" t="s">
        <v>43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3</v>
      </c>
      <c r="AI497">
        <v>0</v>
      </c>
      <c r="AJ497">
        <v>2</v>
      </c>
    </row>
    <row r="498" spans="1:36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tr">
        <v>yes</v>
      </c>
      <c r="S498" t="s">
        <v>41</v>
      </c>
      <c r="T498">
        <v>3447</v>
      </c>
      <c r="U498">
        <v>24444</v>
      </c>
      <c r="V498">
        <v>1</v>
      </c>
      <c r="W498" t="s">
        <v>42</v>
      </c>
      <c r="X498" t="s">
        <v>43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2</v>
      </c>
      <c r="AI498">
        <v>1</v>
      </c>
      <c r="AJ498">
        <v>2</v>
      </c>
    </row>
    <row r="499" spans="1:36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tr">
        <v>yes</v>
      </c>
      <c r="S499" t="s">
        <v>48</v>
      </c>
      <c r="T499">
        <v>19513</v>
      </c>
      <c r="U499">
        <v>9358</v>
      </c>
      <c r="V499">
        <v>4</v>
      </c>
      <c r="W499" t="s">
        <v>42</v>
      </c>
      <c r="X499" t="s">
        <v>35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</v>
      </c>
      <c r="AI499">
        <v>0</v>
      </c>
      <c r="AJ499">
        <v>1</v>
      </c>
    </row>
    <row r="500" spans="1:36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tr">
        <v>yes</v>
      </c>
      <c r="S500" t="s">
        <v>48</v>
      </c>
      <c r="T500">
        <v>2773</v>
      </c>
      <c r="U500">
        <v>12145</v>
      </c>
      <c r="V500">
        <v>0</v>
      </c>
      <c r="W500" t="s">
        <v>42</v>
      </c>
      <c r="X500" t="s">
        <v>43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2</v>
      </c>
      <c r="AI500">
        <v>2</v>
      </c>
      <c r="AJ500">
        <v>2</v>
      </c>
    </row>
    <row r="501" spans="1:36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tr">
        <v>yes</v>
      </c>
      <c r="S501" t="s">
        <v>52</v>
      </c>
      <c r="T501">
        <v>7104</v>
      </c>
      <c r="U501">
        <v>20431</v>
      </c>
      <c r="V501">
        <v>0</v>
      </c>
      <c r="W501" t="s">
        <v>42</v>
      </c>
      <c r="X501" t="s">
        <v>43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0</v>
      </c>
      <c r="AI501">
        <v>1</v>
      </c>
      <c r="AJ501">
        <v>2</v>
      </c>
    </row>
    <row r="502" spans="1:36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tr">
        <v>yes</v>
      </c>
      <c r="S502" t="s">
        <v>48</v>
      </c>
      <c r="T502">
        <v>6322</v>
      </c>
      <c r="U502">
        <v>18089</v>
      </c>
      <c r="V502">
        <v>1</v>
      </c>
      <c r="W502" t="s">
        <v>42</v>
      </c>
      <c r="X502" t="s">
        <v>35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4</v>
      </c>
      <c r="AI502">
        <v>0</v>
      </c>
      <c r="AJ502">
        <v>5</v>
      </c>
    </row>
    <row r="503" spans="1:36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tr">
        <v>yes</v>
      </c>
      <c r="S503" t="s">
        <v>52</v>
      </c>
      <c r="T503">
        <v>2083</v>
      </c>
      <c r="U503">
        <v>22653</v>
      </c>
      <c r="V503">
        <v>1</v>
      </c>
      <c r="W503" t="s">
        <v>42</v>
      </c>
      <c r="X503" t="s">
        <v>43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</row>
    <row r="504" spans="1:36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tr">
        <v>no</v>
      </c>
      <c r="S504" t="s">
        <v>41</v>
      </c>
      <c r="T504">
        <v>8381</v>
      </c>
      <c r="U504">
        <v>7507</v>
      </c>
      <c r="V504">
        <v>7</v>
      </c>
      <c r="W504" t="s">
        <v>42</v>
      </c>
      <c r="X504" t="s">
        <v>43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7</v>
      </c>
      <c r="AI504">
        <v>8</v>
      </c>
      <c r="AJ504">
        <v>10</v>
      </c>
    </row>
    <row r="505" spans="1:36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tr">
        <v>yes</v>
      </c>
      <c r="S505" t="s">
        <v>48</v>
      </c>
      <c r="T505">
        <v>2691</v>
      </c>
      <c r="U505">
        <v>7660</v>
      </c>
      <c r="V505">
        <v>1</v>
      </c>
      <c r="W505" t="s">
        <v>42</v>
      </c>
      <c r="X505" t="s">
        <v>43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9</v>
      </c>
      <c r="AI505">
        <v>8</v>
      </c>
      <c r="AJ505">
        <v>8</v>
      </c>
    </row>
    <row r="506" spans="1:36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tr">
        <v>no</v>
      </c>
      <c r="S506" t="s">
        <v>48</v>
      </c>
      <c r="T506">
        <v>4286</v>
      </c>
      <c r="U506">
        <v>5630</v>
      </c>
      <c r="V506">
        <v>2</v>
      </c>
      <c r="W506" t="s">
        <v>42</v>
      </c>
      <c r="X506" t="s">
        <v>43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1</v>
      </c>
      <c r="AI506">
        <v>0</v>
      </c>
      <c r="AJ506">
        <v>0</v>
      </c>
    </row>
    <row r="507" spans="1:36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tr">
        <v>yes</v>
      </c>
      <c r="S507" t="s">
        <v>48</v>
      </c>
      <c r="T507">
        <v>2659</v>
      </c>
      <c r="U507">
        <v>17759</v>
      </c>
      <c r="V507">
        <v>1</v>
      </c>
      <c r="W507" t="s">
        <v>42</v>
      </c>
      <c r="X507" t="s">
        <v>35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2</v>
      </c>
      <c r="AI507">
        <v>0</v>
      </c>
      <c r="AJ507">
        <v>2</v>
      </c>
    </row>
    <row r="508" spans="1:36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tr">
        <v>yes</v>
      </c>
      <c r="S508" t="s">
        <v>48</v>
      </c>
      <c r="T508">
        <v>9434</v>
      </c>
      <c r="U508">
        <v>9606</v>
      </c>
      <c r="V508">
        <v>1</v>
      </c>
      <c r="W508" t="s">
        <v>42</v>
      </c>
      <c r="X508" t="s">
        <v>43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7</v>
      </c>
      <c r="AI508">
        <v>7</v>
      </c>
      <c r="AJ508">
        <v>8</v>
      </c>
    </row>
    <row r="509" spans="1:36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tr">
        <v>yes</v>
      </c>
      <c r="S509" t="s">
        <v>48</v>
      </c>
      <c r="T509">
        <v>5561</v>
      </c>
      <c r="U509">
        <v>3487</v>
      </c>
      <c r="V509">
        <v>1</v>
      </c>
      <c r="W509" t="s">
        <v>42</v>
      </c>
      <c r="X509" t="s">
        <v>43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1</v>
      </c>
      <c r="AJ509">
        <v>2</v>
      </c>
    </row>
    <row r="510" spans="1:36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tr">
        <v>yes</v>
      </c>
      <c r="S510" t="s">
        <v>41</v>
      </c>
      <c r="T510">
        <v>6646</v>
      </c>
      <c r="U510">
        <v>19368</v>
      </c>
      <c r="V510">
        <v>1</v>
      </c>
      <c r="W510" t="s">
        <v>42</v>
      </c>
      <c r="X510" t="s">
        <v>43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11</v>
      </c>
      <c r="AI510">
        <v>11</v>
      </c>
      <c r="AJ510">
        <v>8</v>
      </c>
    </row>
    <row r="511" spans="1:36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tr">
        <v>yes</v>
      </c>
      <c r="S511" t="s">
        <v>52</v>
      </c>
      <c r="T511">
        <v>7725</v>
      </c>
      <c r="U511">
        <v>5335</v>
      </c>
      <c r="V511">
        <v>3</v>
      </c>
      <c r="W511" t="s">
        <v>42</v>
      </c>
      <c r="X511" t="s">
        <v>43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11</v>
      </c>
      <c r="AI511">
        <v>4</v>
      </c>
      <c r="AJ511">
        <v>7</v>
      </c>
    </row>
    <row r="512" spans="1:36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tr">
        <v>no</v>
      </c>
      <c r="S512" t="s">
        <v>48</v>
      </c>
      <c r="T512">
        <v>10725</v>
      </c>
      <c r="U512">
        <v>6729</v>
      </c>
      <c r="V512">
        <v>2</v>
      </c>
      <c r="W512" t="s">
        <v>42</v>
      </c>
      <c r="X512" t="s">
        <v>43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1</v>
      </c>
    </row>
    <row r="513" spans="1:36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tr">
        <v>no</v>
      </c>
      <c r="S513" t="s">
        <v>52</v>
      </c>
      <c r="T513">
        <v>8847</v>
      </c>
      <c r="U513">
        <v>13934</v>
      </c>
      <c r="V513">
        <v>2</v>
      </c>
      <c r="W513" t="s">
        <v>42</v>
      </c>
      <c r="X513" t="s">
        <v>35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2</v>
      </c>
      <c r="AI513">
        <v>0</v>
      </c>
      <c r="AJ513">
        <v>2</v>
      </c>
    </row>
    <row r="514" spans="1:36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tr">
        <v>yes</v>
      </c>
      <c r="S514" t="s">
        <v>41</v>
      </c>
      <c r="T514">
        <v>2045</v>
      </c>
      <c r="U514">
        <v>15174</v>
      </c>
      <c r="V514">
        <v>0</v>
      </c>
      <c r="W514" t="s">
        <v>42</v>
      </c>
      <c r="X514" t="s">
        <v>43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2</v>
      </c>
      <c r="AI514">
        <v>1</v>
      </c>
      <c r="AJ514">
        <v>1</v>
      </c>
    </row>
    <row r="515" spans="1:36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tr">
        <v>yes</v>
      </c>
      <c r="S515" t="s">
        <v>41</v>
      </c>
      <c r="T515">
        <v>1009</v>
      </c>
      <c r="U515">
        <v>26999</v>
      </c>
      <c r="V515">
        <v>1</v>
      </c>
      <c r="W515" t="s">
        <v>42</v>
      </c>
      <c r="X515" t="s">
        <v>35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1</v>
      </c>
      <c r="AJ515">
        <v>1</v>
      </c>
    </row>
    <row r="516" spans="1:36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tr">
        <v>no</v>
      </c>
      <c r="S516" t="s">
        <v>41</v>
      </c>
      <c r="T516">
        <v>3348</v>
      </c>
      <c r="U516">
        <v>3164</v>
      </c>
      <c r="V516">
        <v>1</v>
      </c>
      <c r="W516" t="s">
        <v>42</v>
      </c>
      <c r="X516" t="s">
        <v>35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8</v>
      </c>
      <c r="AI516">
        <v>9</v>
      </c>
      <c r="AJ516">
        <v>7</v>
      </c>
    </row>
    <row r="517" spans="1:36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tr">
        <v>yes</v>
      </c>
      <c r="S517" t="s">
        <v>48</v>
      </c>
      <c r="T517">
        <v>1281</v>
      </c>
      <c r="U517">
        <v>16900</v>
      </c>
      <c r="V517">
        <v>1</v>
      </c>
      <c r="W517" t="s">
        <v>42</v>
      </c>
      <c r="X517" t="s">
        <v>43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</row>
    <row r="518" spans="1:36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tr">
        <v>no</v>
      </c>
      <c r="S518" t="s">
        <v>48</v>
      </c>
      <c r="T518">
        <v>2819</v>
      </c>
      <c r="U518">
        <v>8544</v>
      </c>
      <c r="V518">
        <v>2</v>
      </c>
      <c r="W518" t="s">
        <v>42</v>
      </c>
      <c r="X518" t="s">
        <v>43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0</v>
      </c>
      <c r="AJ518">
        <v>2</v>
      </c>
    </row>
    <row r="519" spans="1:36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tr">
        <v>no</v>
      </c>
      <c r="S519" t="s">
        <v>48</v>
      </c>
      <c r="T519">
        <v>4851</v>
      </c>
      <c r="U519">
        <v>15678</v>
      </c>
      <c r="V519">
        <v>0</v>
      </c>
      <c r="W519" t="s">
        <v>42</v>
      </c>
      <c r="X519" t="s">
        <v>43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2</v>
      </c>
      <c r="AI519">
        <v>1</v>
      </c>
      <c r="AJ519">
        <v>2</v>
      </c>
    </row>
    <row r="520" spans="1:36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tr">
        <v>yes</v>
      </c>
      <c r="S520" t="s">
        <v>41</v>
      </c>
      <c r="T520">
        <v>4028</v>
      </c>
      <c r="U520">
        <v>7791</v>
      </c>
      <c r="V520">
        <v>0</v>
      </c>
      <c r="W520" t="s">
        <v>42</v>
      </c>
      <c r="X520" t="s">
        <v>43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7</v>
      </c>
      <c r="AI520">
        <v>0</v>
      </c>
      <c r="AJ520">
        <v>5</v>
      </c>
    </row>
    <row r="521" spans="1:36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tr">
        <v>yes</v>
      </c>
      <c r="S521" t="s">
        <v>52</v>
      </c>
      <c r="T521">
        <v>2720</v>
      </c>
      <c r="U521">
        <v>18959</v>
      </c>
      <c r="V521">
        <v>1</v>
      </c>
      <c r="W521" t="s">
        <v>42</v>
      </c>
      <c r="X521" t="s">
        <v>43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7</v>
      </c>
      <c r="AI521">
        <v>2</v>
      </c>
      <c r="AJ521">
        <v>8</v>
      </c>
    </row>
    <row r="522" spans="1:36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tr">
        <v>no</v>
      </c>
      <c r="S522" t="s">
        <v>48</v>
      </c>
      <c r="T522">
        <v>8120</v>
      </c>
      <c r="U522">
        <v>18597</v>
      </c>
      <c r="V522">
        <v>3</v>
      </c>
      <c r="W522" t="s">
        <v>42</v>
      </c>
      <c r="X522" t="s">
        <v>43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2</v>
      </c>
      <c r="AI522">
        <v>2</v>
      </c>
      <c r="AJ522">
        <v>2</v>
      </c>
    </row>
    <row r="523" spans="1:36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tr">
        <v>yes</v>
      </c>
      <c r="S523" t="s">
        <v>52</v>
      </c>
      <c r="T523">
        <v>4647</v>
      </c>
      <c r="U523">
        <v>16673</v>
      </c>
      <c r="V523">
        <v>1</v>
      </c>
      <c r="W523" t="s">
        <v>42</v>
      </c>
      <c r="X523" t="s">
        <v>35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5</v>
      </c>
      <c r="AI523">
        <v>0</v>
      </c>
      <c r="AJ523">
        <v>4</v>
      </c>
    </row>
    <row r="524" spans="1:36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tr">
        <v>yes</v>
      </c>
      <c r="S524" t="s">
        <v>41</v>
      </c>
      <c r="T524">
        <v>4680</v>
      </c>
      <c r="U524">
        <v>15232</v>
      </c>
      <c r="V524">
        <v>3</v>
      </c>
      <c r="W524" t="s">
        <v>42</v>
      </c>
      <c r="X524" t="s">
        <v>43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0</v>
      </c>
      <c r="AI524">
        <v>0</v>
      </c>
      <c r="AJ524">
        <v>0</v>
      </c>
    </row>
    <row r="525" spans="1:36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tr">
        <v>yes</v>
      </c>
      <c r="S525" t="s">
        <v>48</v>
      </c>
      <c r="T525">
        <v>3221</v>
      </c>
      <c r="U525">
        <v>3297</v>
      </c>
      <c r="V525">
        <v>1</v>
      </c>
      <c r="W525" t="s">
        <v>42</v>
      </c>
      <c r="X525" t="s">
        <v>35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8</v>
      </c>
      <c r="AI525">
        <v>3</v>
      </c>
      <c r="AJ525">
        <v>8</v>
      </c>
    </row>
    <row r="526" spans="1:36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tr">
        <v>no</v>
      </c>
      <c r="S526" t="s">
        <v>41</v>
      </c>
      <c r="T526">
        <v>8621</v>
      </c>
      <c r="U526">
        <v>17654</v>
      </c>
      <c r="V526">
        <v>1</v>
      </c>
      <c r="W526" t="s">
        <v>42</v>
      </c>
      <c r="X526" t="s">
        <v>43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7</v>
      </c>
      <c r="AI526">
        <v>7</v>
      </c>
      <c r="AJ526">
        <v>7</v>
      </c>
    </row>
    <row r="527" spans="1:36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tr">
        <v>yes</v>
      </c>
      <c r="S527" t="s">
        <v>41</v>
      </c>
      <c r="T527">
        <v>4577</v>
      </c>
      <c r="U527">
        <v>24785</v>
      </c>
      <c r="V527">
        <v>9</v>
      </c>
      <c r="W527" t="s">
        <v>42</v>
      </c>
      <c r="X527" t="s">
        <v>43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0</v>
      </c>
    </row>
    <row r="528" spans="1:36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tr">
        <v>yes</v>
      </c>
      <c r="S528" t="s">
        <v>41</v>
      </c>
      <c r="T528">
        <v>4553</v>
      </c>
      <c r="U528">
        <v>20978</v>
      </c>
      <c r="V528">
        <v>1</v>
      </c>
      <c r="W528" t="s">
        <v>42</v>
      </c>
      <c r="X528" t="s">
        <v>43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7</v>
      </c>
      <c r="AI528">
        <v>11</v>
      </c>
      <c r="AJ528">
        <v>10</v>
      </c>
    </row>
    <row r="529" spans="1:36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tr">
        <v>yes</v>
      </c>
      <c r="S529" t="s">
        <v>41</v>
      </c>
      <c r="T529">
        <v>5396</v>
      </c>
      <c r="U529">
        <v>21703</v>
      </c>
      <c r="V529">
        <v>1</v>
      </c>
      <c r="W529" t="s">
        <v>42</v>
      </c>
      <c r="X529" t="s">
        <v>43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7</v>
      </c>
      <c r="AI529">
        <v>0</v>
      </c>
      <c r="AJ529">
        <v>8</v>
      </c>
    </row>
    <row r="530" spans="1:36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tr">
        <v>yes</v>
      </c>
      <c r="S530" t="s">
        <v>48</v>
      </c>
      <c r="T530">
        <v>6796</v>
      </c>
      <c r="U530">
        <v>23452</v>
      </c>
      <c r="V530">
        <v>3</v>
      </c>
      <c r="W530" t="s">
        <v>42</v>
      </c>
      <c r="X530" t="s">
        <v>35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3</v>
      </c>
      <c r="AI530">
        <v>1</v>
      </c>
      <c r="AJ530">
        <v>3</v>
      </c>
    </row>
    <row r="531" spans="1:36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tr">
        <v>yes</v>
      </c>
      <c r="S531" t="s">
        <v>41</v>
      </c>
      <c r="T531">
        <v>7625</v>
      </c>
      <c r="U531">
        <v>19383</v>
      </c>
      <c r="V531">
        <v>0</v>
      </c>
      <c r="W531" t="s">
        <v>42</v>
      </c>
      <c r="X531" t="s">
        <v>43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7</v>
      </c>
      <c r="AI531">
        <v>1</v>
      </c>
      <c r="AJ531">
        <v>8</v>
      </c>
    </row>
    <row r="532" spans="1:36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tr">
        <v>no</v>
      </c>
      <c r="S532" t="s">
        <v>48</v>
      </c>
      <c r="T532">
        <v>7412</v>
      </c>
      <c r="U532">
        <v>6009</v>
      </c>
      <c r="V532">
        <v>1</v>
      </c>
      <c r="W532" t="s">
        <v>42</v>
      </c>
      <c r="X532" t="s">
        <v>43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7</v>
      </c>
      <c r="AI532">
        <v>0</v>
      </c>
      <c r="AJ532">
        <v>7</v>
      </c>
    </row>
    <row r="533" spans="1:36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tr">
        <v>yes</v>
      </c>
      <c r="S533" t="s">
        <v>41</v>
      </c>
      <c r="T533">
        <v>11159</v>
      </c>
      <c r="U533">
        <v>19373</v>
      </c>
      <c r="V533">
        <v>3</v>
      </c>
      <c r="W533" t="s">
        <v>42</v>
      </c>
      <c r="X533" t="s">
        <v>43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7</v>
      </c>
      <c r="AI533">
        <v>7</v>
      </c>
      <c r="AJ533">
        <v>7</v>
      </c>
    </row>
    <row r="534" spans="1:36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tr">
        <v>no</v>
      </c>
      <c r="S534" t="s">
        <v>41</v>
      </c>
      <c r="T534">
        <v>4960</v>
      </c>
      <c r="U534">
        <v>11825</v>
      </c>
      <c r="V534">
        <v>2</v>
      </c>
      <c r="W534" t="s">
        <v>42</v>
      </c>
      <c r="X534" t="s">
        <v>43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7</v>
      </c>
      <c r="AI534">
        <v>1</v>
      </c>
      <c r="AJ534">
        <v>7</v>
      </c>
    </row>
    <row r="535" spans="1:36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tr">
        <v>no</v>
      </c>
      <c r="S535" t="s">
        <v>48</v>
      </c>
      <c r="T535">
        <v>10475</v>
      </c>
      <c r="U535">
        <v>23772</v>
      </c>
      <c r="V535">
        <v>5</v>
      </c>
      <c r="W535" t="s">
        <v>42</v>
      </c>
      <c r="X535" t="s">
        <v>35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13</v>
      </c>
      <c r="AI535">
        <v>1</v>
      </c>
      <c r="AJ535">
        <v>12</v>
      </c>
    </row>
    <row r="536" spans="1:36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tr">
        <v>yes</v>
      </c>
      <c r="S536" t="s">
        <v>48</v>
      </c>
      <c r="T536">
        <v>14814</v>
      </c>
      <c r="U536">
        <v>13514</v>
      </c>
      <c r="V536">
        <v>3</v>
      </c>
      <c r="W536" t="s">
        <v>42</v>
      </c>
      <c r="X536" t="s">
        <v>43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1</v>
      </c>
      <c r="AI536">
        <v>1</v>
      </c>
      <c r="AJ536">
        <v>3</v>
      </c>
    </row>
    <row r="537" spans="1:36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tr">
        <v>yes</v>
      </c>
      <c r="S537" t="s">
        <v>52</v>
      </c>
      <c r="T537">
        <v>19141</v>
      </c>
      <c r="U537">
        <v>8861</v>
      </c>
      <c r="V537">
        <v>3</v>
      </c>
      <c r="W537" t="s">
        <v>42</v>
      </c>
      <c r="X537" t="s">
        <v>43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6</v>
      </c>
      <c r="AI537">
        <v>12</v>
      </c>
      <c r="AJ537">
        <v>6</v>
      </c>
    </row>
    <row r="538" spans="1:36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tr">
        <v>no</v>
      </c>
      <c r="S538" t="s">
        <v>41</v>
      </c>
      <c r="T538">
        <v>5405</v>
      </c>
      <c r="U538">
        <v>11924</v>
      </c>
      <c r="V538">
        <v>8</v>
      </c>
      <c r="W538" t="s">
        <v>42</v>
      </c>
      <c r="X538" t="s">
        <v>43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2</v>
      </c>
      <c r="AI538">
        <v>2</v>
      </c>
      <c r="AJ538">
        <v>2</v>
      </c>
    </row>
    <row r="539" spans="1:36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tr">
        <v>no</v>
      </c>
      <c r="S539" t="s">
        <v>52</v>
      </c>
      <c r="T539">
        <v>8793</v>
      </c>
      <c r="U539">
        <v>4809</v>
      </c>
      <c r="V539">
        <v>1</v>
      </c>
      <c r="W539" t="s">
        <v>42</v>
      </c>
      <c r="X539" t="s">
        <v>43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7</v>
      </c>
      <c r="AI539">
        <v>1</v>
      </c>
      <c r="AJ539">
        <v>7</v>
      </c>
    </row>
    <row r="540" spans="1:36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tr">
        <v>yes</v>
      </c>
      <c r="S540" t="s">
        <v>48</v>
      </c>
      <c r="T540">
        <v>19189</v>
      </c>
      <c r="U540">
        <v>19562</v>
      </c>
      <c r="V540">
        <v>1</v>
      </c>
      <c r="W540" t="s">
        <v>42</v>
      </c>
      <c r="X540" t="s">
        <v>43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7</v>
      </c>
      <c r="AI540">
        <v>2</v>
      </c>
      <c r="AJ540">
        <v>10</v>
      </c>
    </row>
    <row r="541" spans="1:36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tr">
        <v>no</v>
      </c>
      <c r="S541" t="s">
        <v>48</v>
      </c>
      <c r="T541">
        <v>3875</v>
      </c>
      <c r="U541">
        <v>9983</v>
      </c>
      <c r="V541">
        <v>7</v>
      </c>
      <c r="W541" t="s">
        <v>42</v>
      </c>
      <c r="X541" t="s">
        <v>43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</row>
    <row r="542" spans="1:36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tr">
        <v>no</v>
      </c>
      <c r="S542" t="s">
        <v>41</v>
      </c>
      <c r="T542">
        <v>2216</v>
      </c>
      <c r="U542">
        <v>3872</v>
      </c>
      <c r="V542">
        <v>7</v>
      </c>
      <c r="W542" t="s">
        <v>42</v>
      </c>
      <c r="X542" t="s">
        <v>35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7</v>
      </c>
      <c r="AI542">
        <v>3</v>
      </c>
      <c r="AJ542">
        <v>7</v>
      </c>
    </row>
    <row r="543" spans="1:36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tr">
        <v>no</v>
      </c>
      <c r="S543" t="s">
        <v>48</v>
      </c>
      <c r="T543">
        <v>11713</v>
      </c>
      <c r="U543">
        <v>20335</v>
      </c>
      <c r="V543">
        <v>9</v>
      </c>
      <c r="W543" t="s">
        <v>42</v>
      </c>
      <c r="X543" t="s">
        <v>43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7</v>
      </c>
      <c r="AI543">
        <v>0</v>
      </c>
      <c r="AJ543">
        <v>5</v>
      </c>
    </row>
    <row r="544" spans="1:36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tr">
        <v>yes</v>
      </c>
      <c r="S544" t="s">
        <v>41</v>
      </c>
      <c r="T544">
        <v>7861</v>
      </c>
      <c r="U544">
        <v>15397</v>
      </c>
      <c r="V544">
        <v>4</v>
      </c>
      <c r="W544" t="s">
        <v>42</v>
      </c>
      <c r="X544" t="s">
        <v>35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0</v>
      </c>
      <c r="AI544">
        <v>0</v>
      </c>
      <c r="AJ544">
        <v>0</v>
      </c>
    </row>
    <row r="545" spans="1:36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tr">
        <v>yes</v>
      </c>
      <c r="S545" t="s">
        <v>41</v>
      </c>
      <c r="T545">
        <v>3708</v>
      </c>
      <c r="U545">
        <v>2104</v>
      </c>
      <c r="V545">
        <v>2</v>
      </c>
      <c r="W545" t="s">
        <v>42</v>
      </c>
      <c r="X545" t="s">
        <v>43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2</v>
      </c>
      <c r="AI545">
        <v>1</v>
      </c>
      <c r="AJ545">
        <v>4</v>
      </c>
    </row>
    <row r="546" spans="1:36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tr">
        <v>yes</v>
      </c>
      <c r="S546" t="s">
        <v>52</v>
      </c>
      <c r="T546">
        <v>13770</v>
      </c>
      <c r="U546">
        <v>10225</v>
      </c>
      <c r="V546">
        <v>9</v>
      </c>
      <c r="W546" t="s">
        <v>42</v>
      </c>
      <c r="X546" t="s">
        <v>35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2</v>
      </c>
      <c r="AI546">
        <v>11</v>
      </c>
      <c r="AJ546">
        <v>13</v>
      </c>
    </row>
    <row r="547" spans="1:36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tr">
        <v>yes</v>
      </c>
      <c r="S547" t="s">
        <v>52</v>
      </c>
      <c r="T547">
        <v>5304</v>
      </c>
      <c r="U547">
        <v>25275</v>
      </c>
      <c r="V547">
        <v>7</v>
      </c>
      <c r="W547" t="s">
        <v>42</v>
      </c>
      <c r="X547" t="s">
        <v>43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7</v>
      </c>
      <c r="AI547">
        <v>7</v>
      </c>
      <c r="AJ547">
        <v>7</v>
      </c>
    </row>
    <row r="548" spans="1:36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tr">
        <v>yes</v>
      </c>
      <c r="S548" t="s">
        <v>41</v>
      </c>
      <c r="T548">
        <v>2642</v>
      </c>
      <c r="U548">
        <v>2755</v>
      </c>
      <c r="V548">
        <v>1</v>
      </c>
      <c r="W548" t="s">
        <v>42</v>
      </c>
      <c r="X548" t="s">
        <v>43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</row>
    <row r="549" spans="1:36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tr">
        <v>yes</v>
      </c>
      <c r="S549" t="s">
        <v>52</v>
      </c>
      <c r="T549">
        <v>2759</v>
      </c>
      <c r="U549">
        <v>20366</v>
      </c>
      <c r="V549">
        <v>6</v>
      </c>
      <c r="W549" t="s">
        <v>42</v>
      </c>
      <c r="X549" t="s">
        <v>35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2</v>
      </c>
      <c r="AI549">
        <v>2</v>
      </c>
      <c r="AJ549">
        <v>2</v>
      </c>
    </row>
    <row r="550" spans="1:36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tr">
        <v>yes</v>
      </c>
      <c r="S550" t="s">
        <v>48</v>
      </c>
      <c r="T550">
        <v>6804</v>
      </c>
      <c r="U550">
        <v>23683</v>
      </c>
      <c r="V550">
        <v>3</v>
      </c>
      <c r="W550" t="s">
        <v>42</v>
      </c>
      <c r="X550" t="s">
        <v>43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2</v>
      </c>
      <c r="AI550">
        <v>2</v>
      </c>
      <c r="AJ550">
        <v>2</v>
      </c>
    </row>
    <row r="551" spans="1:36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tr">
        <v>yes</v>
      </c>
      <c r="S551" t="s">
        <v>41</v>
      </c>
      <c r="T551">
        <v>6142</v>
      </c>
      <c r="U551">
        <v>7360</v>
      </c>
      <c r="V551">
        <v>3</v>
      </c>
      <c r="W551" t="s">
        <v>42</v>
      </c>
      <c r="X551" t="s">
        <v>43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1</v>
      </c>
      <c r="AI551">
        <v>4</v>
      </c>
      <c r="AJ551">
        <v>3</v>
      </c>
    </row>
    <row r="552" spans="1:36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tr">
        <v>no</v>
      </c>
      <c r="S552" t="s">
        <v>48</v>
      </c>
      <c r="T552">
        <v>2500</v>
      </c>
      <c r="U552">
        <v>4344</v>
      </c>
      <c r="V552">
        <v>1</v>
      </c>
      <c r="W552" t="s">
        <v>42</v>
      </c>
      <c r="X552" t="s">
        <v>43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3</v>
      </c>
      <c r="AI552">
        <v>0</v>
      </c>
      <c r="AJ552">
        <v>2</v>
      </c>
    </row>
    <row r="553" spans="1:36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tr">
        <v>no</v>
      </c>
      <c r="S553" t="s">
        <v>48</v>
      </c>
      <c r="T553">
        <v>6389</v>
      </c>
      <c r="U553">
        <v>18767</v>
      </c>
      <c r="V553">
        <v>9</v>
      </c>
      <c r="W553" t="s">
        <v>42</v>
      </c>
      <c r="X553" t="s">
        <v>43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3</v>
      </c>
      <c r="AI553">
        <v>3</v>
      </c>
      <c r="AJ553">
        <v>6</v>
      </c>
    </row>
    <row r="554" spans="1:36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tr">
        <v>yes</v>
      </c>
      <c r="S554" t="s">
        <v>48</v>
      </c>
      <c r="T554">
        <v>11103</v>
      </c>
      <c r="U554">
        <v>20420</v>
      </c>
      <c r="V554">
        <v>7</v>
      </c>
      <c r="W554" t="s">
        <v>42</v>
      </c>
      <c r="X554" t="s">
        <v>43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7</v>
      </c>
      <c r="AI554">
        <v>1</v>
      </c>
      <c r="AJ554">
        <v>1</v>
      </c>
    </row>
    <row r="555" spans="1:36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tr">
        <v>yes</v>
      </c>
      <c r="S555" t="s">
        <v>41</v>
      </c>
      <c r="T555">
        <v>2342</v>
      </c>
      <c r="U555">
        <v>22929</v>
      </c>
      <c r="V555">
        <v>0</v>
      </c>
      <c r="W555" t="s">
        <v>42</v>
      </c>
      <c r="X555" t="s">
        <v>35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2</v>
      </c>
      <c r="AI555">
        <v>2</v>
      </c>
      <c r="AJ555">
        <v>3</v>
      </c>
    </row>
    <row r="556" spans="1:36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tr">
        <v>no</v>
      </c>
      <c r="S556" t="s">
        <v>41</v>
      </c>
      <c r="T556">
        <v>6811</v>
      </c>
      <c r="U556">
        <v>23398</v>
      </c>
      <c r="V556">
        <v>8</v>
      </c>
      <c r="W556" t="s">
        <v>42</v>
      </c>
      <c r="X556" t="s">
        <v>43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6</v>
      </c>
      <c r="AI556">
        <v>0</v>
      </c>
      <c r="AJ556">
        <v>7</v>
      </c>
    </row>
    <row r="557" spans="1:36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tr">
        <v>no</v>
      </c>
      <c r="S557" t="s">
        <v>52</v>
      </c>
      <c r="T557">
        <v>2297</v>
      </c>
      <c r="U557">
        <v>17967</v>
      </c>
      <c r="V557">
        <v>1</v>
      </c>
      <c r="W557" t="s">
        <v>42</v>
      </c>
      <c r="X557" t="s">
        <v>43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2</v>
      </c>
      <c r="AI557">
        <v>2</v>
      </c>
      <c r="AJ557">
        <v>2</v>
      </c>
    </row>
    <row r="558" spans="1:36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tr">
        <v>yes</v>
      </c>
      <c r="S558" t="s">
        <v>41</v>
      </c>
      <c r="T558">
        <v>2450</v>
      </c>
      <c r="U558">
        <v>10919</v>
      </c>
      <c r="V558">
        <v>2</v>
      </c>
      <c r="W558" t="s">
        <v>42</v>
      </c>
      <c r="X558" t="s">
        <v>43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2</v>
      </c>
      <c r="AI558">
        <v>2</v>
      </c>
      <c r="AJ558">
        <v>2</v>
      </c>
    </row>
    <row r="559" spans="1:36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tr">
        <v>no</v>
      </c>
      <c r="S559" t="s">
        <v>52</v>
      </c>
      <c r="T559">
        <v>5093</v>
      </c>
      <c r="U559">
        <v>4761</v>
      </c>
      <c r="V559">
        <v>2</v>
      </c>
      <c r="W559" t="s">
        <v>42</v>
      </c>
      <c r="X559" t="s">
        <v>43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0</v>
      </c>
      <c r="AI559">
        <v>0</v>
      </c>
      <c r="AJ559">
        <v>0</v>
      </c>
    </row>
    <row r="560" spans="1:36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tr">
        <v>yes</v>
      </c>
      <c r="S560" t="s">
        <v>48</v>
      </c>
      <c r="T560">
        <v>5309</v>
      </c>
      <c r="U560">
        <v>21146</v>
      </c>
      <c r="V560">
        <v>1</v>
      </c>
      <c r="W560" t="s">
        <v>42</v>
      </c>
      <c r="X560" t="s">
        <v>43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8</v>
      </c>
      <c r="AI560">
        <v>4</v>
      </c>
      <c r="AJ560">
        <v>7</v>
      </c>
    </row>
    <row r="561" spans="1:36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tr">
        <v>yes</v>
      </c>
      <c r="S561" t="s">
        <v>48</v>
      </c>
      <c r="T561">
        <v>3057</v>
      </c>
      <c r="U561">
        <v>20471</v>
      </c>
      <c r="V561">
        <v>6</v>
      </c>
      <c r="W561" t="s">
        <v>42</v>
      </c>
      <c r="X561" t="s">
        <v>35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0</v>
      </c>
      <c r="AI561">
        <v>0</v>
      </c>
      <c r="AJ561">
        <v>1</v>
      </c>
    </row>
    <row r="562" spans="1:36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tr">
        <v>no</v>
      </c>
      <c r="S562" t="s">
        <v>52</v>
      </c>
      <c r="T562">
        <v>5121</v>
      </c>
      <c r="U562">
        <v>4187</v>
      </c>
      <c r="V562">
        <v>3</v>
      </c>
      <c r="W562" t="s">
        <v>42</v>
      </c>
      <c r="X562" t="s">
        <v>43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0</v>
      </c>
      <c r="AI562">
        <v>0</v>
      </c>
      <c r="AJ562">
        <v>0</v>
      </c>
    </row>
    <row r="563" spans="1:36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tr">
        <v>no</v>
      </c>
      <c r="S563" t="s">
        <v>48</v>
      </c>
      <c r="T563">
        <v>16856</v>
      </c>
      <c r="U563">
        <v>10084</v>
      </c>
      <c r="V563">
        <v>1</v>
      </c>
      <c r="W563" t="s">
        <v>42</v>
      </c>
      <c r="X563" t="s">
        <v>43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6</v>
      </c>
      <c r="AI563">
        <v>1</v>
      </c>
      <c r="AJ563">
        <v>16</v>
      </c>
    </row>
    <row r="564" spans="1:36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tr">
        <v>yes</v>
      </c>
      <c r="S564" t="s">
        <v>41</v>
      </c>
      <c r="T564">
        <v>2686</v>
      </c>
      <c r="U564">
        <v>5207</v>
      </c>
      <c r="V564">
        <v>1</v>
      </c>
      <c r="W564" t="s">
        <v>42</v>
      </c>
      <c r="X564" t="s">
        <v>35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9</v>
      </c>
      <c r="AI564">
        <v>7</v>
      </c>
      <c r="AJ564">
        <v>8</v>
      </c>
    </row>
    <row r="565" spans="1:36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tr">
        <v>yes</v>
      </c>
      <c r="S565" t="s">
        <v>41</v>
      </c>
      <c r="T565">
        <v>6180</v>
      </c>
      <c r="U565">
        <v>22807</v>
      </c>
      <c r="V565">
        <v>1</v>
      </c>
      <c r="W565" t="s">
        <v>42</v>
      </c>
      <c r="X565" t="s">
        <v>43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5</v>
      </c>
      <c r="AI565">
        <v>1</v>
      </c>
      <c r="AJ565">
        <v>4</v>
      </c>
    </row>
    <row r="566" spans="1:36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tr">
        <v>yes</v>
      </c>
      <c r="S566" t="s">
        <v>41</v>
      </c>
      <c r="T566">
        <v>6632</v>
      </c>
      <c r="U566">
        <v>12388</v>
      </c>
      <c r="V566">
        <v>0</v>
      </c>
      <c r="W566" t="s">
        <v>42</v>
      </c>
      <c r="X566" t="s">
        <v>43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7</v>
      </c>
      <c r="AI566">
        <v>3</v>
      </c>
      <c r="AJ566">
        <v>1</v>
      </c>
    </row>
    <row r="567" spans="1:36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tr">
        <v>yes</v>
      </c>
      <c r="S567" t="s">
        <v>41</v>
      </c>
      <c r="T567">
        <v>3505</v>
      </c>
      <c r="U567">
        <v>19630</v>
      </c>
      <c r="V567">
        <v>1</v>
      </c>
      <c r="W567" t="s">
        <v>42</v>
      </c>
      <c r="X567" t="s">
        <v>43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2</v>
      </c>
      <c r="AI567">
        <v>0</v>
      </c>
      <c r="AJ567">
        <v>2</v>
      </c>
    </row>
    <row r="568" spans="1:36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tr">
        <v>yes</v>
      </c>
      <c r="S568" t="s">
        <v>41</v>
      </c>
      <c r="T568">
        <v>6397</v>
      </c>
      <c r="U568">
        <v>10339</v>
      </c>
      <c r="V568">
        <v>4</v>
      </c>
      <c r="W568" t="s">
        <v>42</v>
      </c>
      <c r="X568" t="s">
        <v>35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4</v>
      </c>
      <c r="AI568">
        <v>1</v>
      </c>
      <c r="AJ568">
        <v>3</v>
      </c>
    </row>
    <row r="569" spans="1:36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tr">
        <v>yes</v>
      </c>
      <c r="S569" t="s">
        <v>41</v>
      </c>
      <c r="T569">
        <v>6274</v>
      </c>
      <c r="U569">
        <v>18686</v>
      </c>
      <c r="V569">
        <v>1</v>
      </c>
      <c r="W569" t="s">
        <v>42</v>
      </c>
      <c r="X569" t="s">
        <v>43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5</v>
      </c>
      <c r="AI569">
        <v>1</v>
      </c>
      <c r="AJ569">
        <v>4</v>
      </c>
    </row>
    <row r="570" spans="1:36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tr">
        <v>no</v>
      </c>
      <c r="S570" t="s">
        <v>48</v>
      </c>
      <c r="T570">
        <v>19859</v>
      </c>
      <c r="U570">
        <v>21199</v>
      </c>
      <c r="V570">
        <v>5</v>
      </c>
      <c r="W570" t="s">
        <v>42</v>
      </c>
      <c r="X570" t="s">
        <v>35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2</v>
      </c>
      <c r="AI570">
        <v>1</v>
      </c>
      <c r="AJ570">
        <v>4</v>
      </c>
    </row>
    <row r="571" spans="1:36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tr">
        <v>no</v>
      </c>
      <c r="S571" t="s">
        <v>41</v>
      </c>
      <c r="T571">
        <v>7587</v>
      </c>
      <c r="U571">
        <v>14229</v>
      </c>
      <c r="V571">
        <v>1</v>
      </c>
      <c r="W571" t="s">
        <v>42</v>
      </c>
      <c r="X571" t="s">
        <v>43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7</v>
      </c>
      <c r="AI571">
        <v>0</v>
      </c>
      <c r="AJ571">
        <v>9</v>
      </c>
    </row>
    <row r="572" spans="1:36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tr">
        <v>yes</v>
      </c>
      <c r="S572" t="s">
        <v>48</v>
      </c>
      <c r="T572">
        <v>4258</v>
      </c>
      <c r="U572">
        <v>26589</v>
      </c>
      <c r="V572">
        <v>0</v>
      </c>
      <c r="W572" t="s">
        <v>42</v>
      </c>
      <c r="X572" t="s">
        <v>43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3</v>
      </c>
      <c r="AI572">
        <v>1</v>
      </c>
      <c r="AJ572">
        <v>2</v>
      </c>
    </row>
    <row r="573" spans="1:36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tr">
        <v>yes</v>
      </c>
      <c r="S573" t="s">
        <v>52</v>
      </c>
      <c r="T573">
        <v>4364</v>
      </c>
      <c r="U573">
        <v>5288</v>
      </c>
      <c r="V573">
        <v>3</v>
      </c>
      <c r="W573" t="s">
        <v>42</v>
      </c>
      <c r="X573" t="s">
        <v>43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2</v>
      </c>
      <c r="AI573">
        <v>2</v>
      </c>
      <c r="AJ573">
        <v>0</v>
      </c>
    </row>
    <row r="574" spans="1:36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tr">
        <v>yes</v>
      </c>
      <c r="S574" t="s">
        <v>48</v>
      </c>
      <c r="T574">
        <v>4335</v>
      </c>
      <c r="U574">
        <v>25549</v>
      </c>
      <c r="V574">
        <v>4</v>
      </c>
      <c r="W574" t="s">
        <v>42</v>
      </c>
      <c r="X574" t="s">
        <v>43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7</v>
      </c>
      <c r="AI574">
        <v>1</v>
      </c>
      <c r="AJ574">
        <v>1</v>
      </c>
    </row>
    <row r="575" spans="1:36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tr">
        <v>no</v>
      </c>
      <c r="S575" t="s">
        <v>41</v>
      </c>
      <c r="T575">
        <v>5326</v>
      </c>
      <c r="U575">
        <v>3064</v>
      </c>
      <c r="V575">
        <v>6</v>
      </c>
      <c r="W575" t="s">
        <v>42</v>
      </c>
      <c r="X575" t="s">
        <v>43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3</v>
      </c>
      <c r="AI575">
        <v>1</v>
      </c>
      <c r="AJ575">
        <v>2</v>
      </c>
    </row>
    <row r="576" spans="1:36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tr">
        <v>yes</v>
      </c>
      <c r="S576" t="s">
        <v>41</v>
      </c>
      <c r="T576">
        <v>3280</v>
      </c>
      <c r="U576">
        <v>13551</v>
      </c>
      <c r="V576">
        <v>2</v>
      </c>
      <c r="W576" t="s">
        <v>42</v>
      </c>
      <c r="X576" t="s">
        <v>43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2</v>
      </c>
      <c r="AI576">
        <v>1</v>
      </c>
      <c r="AJ576">
        <v>3</v>
      </c>
    </row>
    <row r="577" spans="1:36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tr">
        <v>no</v>
      </c>
      <c r="S577" t="s">
        <v>52</v>
      </c>
      <c r="T577">
        <v>5485</v>
      </c>
      <c r="U577">
        <v>22670</v>
      </c>
      <c r="V577">
        <v>9</v>
      </c>
      <c r="W577" t="s">
        <v>42</v>
      </c>
      <c r="X577" t="s">
        <v>35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3</v>
      </c>
      <c r="AI577">
        <v>1</v>
      </c>
      <c r="AJ577">
        <v>4</v>
      </c>
    </row>
    <row r="578" spans="1:36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tr">
        <v>yes</v>
      </c>
      <c r="S578" t="s">
        <v>48</v>
      </c>
      <c r="T578">
        <v>4342</v>
      </c>
      <c r="U578">
        <v>24008</v>
      </c>
      <c r="V578">
        <v>0</v>
      </c>
      <c r="W578" t="s">
        <v>42</v>
      </c>
      <c r="X578" t="s">
        <v>43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2</v>
      </c>
      <c r="AI578">
        <v>1</v>
      </c>
      <c r="AJ578">
        <v>1</v>
      </c>
    </row>
    <row r="579" spans="1:36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tr">
        <v>no</v>
      </c>
      <c r="S579" t="s">
        <v>52</v>
      </c>
      <c r="T579">
        <v>2782</v>
      </c>
      <c r="U579">
        <v>19905</v>
      </c>
      <c r="V579">
        <v>0</v>
      </c>
      <c r="W579" t="s">
        <v>42</v>
      </c>
      <c r="X579" t="s">
        <v>35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3</v>
      </c>
      <c r="AI579">
        <v>4</v>
      </c>
      <c r="AJ579">
        <v>3</v>
      </c>
    </row>
    <row r="580" spans="1:36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tr">
        <v>no</v>
      </c>
      <c r="S580" t="s">
        <v>41</v>
      </c>
      <c r="T580">
        <v>5980</v>
      </c>
      <c r="U580">
        <v>26085</v>
      </c>
      <c r="V580">
        <v>6</v>
      </c>
      <c r="W580" t="s">
        <v>42</v>
      </c>
      <c r="X580" t="s">
        <v>35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7</v>
      </c>
      <c r="AI580">
        <v>4</v>
      </c>
      <c r="AJ580">
        <v>12</v>
      </c>
    </row>
    <row r="581" spans="1:36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tr">
        <v>no</v>
      </c>
      <c r="S581" t="s">
        <v>41</v>
      </c>
      <c r="T581">
        <v>4381</v>
      </c>
      <c r="U581">
        <v>7530</v>
      </c>
      <c r="V581">
        <v>1</v>
      </c>
      <c r="W581" t="s">
        <v>42</v>
      </c>
      <c r="X581" t="s">
        <v>43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5</v>
      </c>
      <c r="AI581">
        <v>1</v>
      </c>
      <c r="AJ581">
        <v>3</v>
      </c>
    </row>
    <row r="582" spans="1:36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tr">
        <v>yes</v>
      </c>
      <c r="S582" t="s">
        <v>48</v>
      </c>
      <c r="T582">
        <v>2572</v>
      </c>
      <c r="U582">
        <v>20317</v>
      </c>
      <c r="V582">
        <v>1</v>
      </c>
      <c r="W582" t="s">
        <v>42</v>
      </c>
      <c r="X582" t="s">
        <v>43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2</v>
      </c>
      <c r="AI582">
        <v>0</v>
      </c>
      <c r="AJ582">
        <v>2</v>
      </c>
    </row>
    <row r="583" spans="1:36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tr">
        <v>yes</v>
      </c>
      <c r="S583" t="s">
        <v>48</v>
      </c>
      <c r="T583">
        <v>3833</v>
      </c>
      <c r="U583">
        <v>24375</v>
      </c>
      <c r="V583">
        <v>3</v>
      </c>
      <c r="W583" t="s">
        <v>42</v>
      </c>
      <c r="X583" t="s">
        <v>43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2</v>
      </c>
      <c r="AI583">
        <v>0</v>
      </c>
      <c r="AJ583">
        <v>2</v>
      </c>
    </row>
    <row r="584" spans="1:36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tr">
        <v>no</v>
      </c>
      <c r="S584" t="s">
        <v>48</v>
      </c>
      <c r="T584">
        <v>4244</v>
      </c>
      <c r="U584">
        <v>9931</v>
      </c>
      <c r="V584">
        <v>1</v>
      </c>
      <c r="W584" t="s">
        <v>42</v>
      </c>
      <c r="X584" t="s">
        <v>43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7</v>
      </c>
      <c r="AI584">
        <v>3</v>
      </c>
      <c r="AJ584">
        <v>7</v>
      </c>
    </row>
    <row r="585" spans="1:36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tr">
        <v>no</v>
      </c>
      <c r="S585" t="s">
        <v>48</v>
      </c>
      <c r="T585">
        <v>6500</v>
      </c>
      <c r="U585">
        <v>13305</v>
      </c>
      <c r="V585">
        <v>5</v>
      </c>
      <c r="W585" t="s">
        <v>42</v>
      </c>
      <c r="X585" t="s">
        <v>43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2</v>
      </c>
      <c r="AI585">
        <v>1</v>
      </c>
      <c r="AJ585">
        <v>2</v>
      </c>
    </row>
    <row r="586" spans="1:36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tr">
        <v>yes</v>
      </c>
      <c r="S586" t="s">
        <v>52</v>
      </c>
      <c r="T586">
        <v>18430</v>
      </c>
      <c r="U586">
        <v>16225</v>
      </c>
      <c r="V586">
        <v>1</v>
      </c>
      <c r="W586" t="s">
        <v>42</v>
      </c>
      <c r="X586" t="s">
        <v>43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7</v>
      </c>
      <c r="AI586">
        <v>14</v>
      </c>
      <c r="AJ586">
        <v>9</v>
      </c>
    </row>
    <row r="587" spans="1:36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tr">
        <v>no</v>
      </c>
      <c r="S587" t="s">
        <v>48</v>
      </c>
      <c r="T587">
        <v>1601</v>
      </c>
      <c r="U587">
        <v>3445</v>
      </c>
      <c r="V587">
        <v>1</v>
      </c>
      <c r="W587" t="s">
        <v>42</v>
      </c>
      <c r="X587" t="s">
        <v>35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0</v>
      </c>
      <c r="AI587">
        <v>0</v>
      </c>
      <c r="AJ587">
        <v>0</v>
      </c>
    </row>
    <row r="588" spans="1:36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tr">
        <v>no</v>
      </c>
      <c r="S588" t="s">
        <v>52</v>
      </c>
      <c r="T588">
        <v>2694</v>
      </c>
      <c r="U588">
        <v>26551</v>
      </c>
      <c r="V588">
        <v>1</v>
      </c>
      <c r="W588" t="s">
        <v>42</v>
      </c>
      <c r="X588" t="s">
        <v>43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</row>
    <row r="589" spans="1:36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tr">
        <v>yes</v>
      </c>
      <c r="S589" t="s">
        <v>48</v>
      </c>
      <c r="T589">
        <v>3149</v>
      </c>
      <c r="U589">
        <v>21821</v>
      </c>
      <c r="V589">
        <v>8</v>
      </c>
      <c r="W589" t="s">
        <v>42</v>
      </c>
      <c r="X589" t="s">
        <v>43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2</v>
      </c>
      <c r="AI589">
        <v>1</v>
      </c>
      <c r="AJ589">
        <v>4</v>
      </c>
    </row>
    <row r="590" spans="1:36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tr">
        <v>yes</v>
      </c>
      <c r="S590" t="s">
        <v>48</v>
      </c>
      <c r="T590">
        <v>17639</v>
      </c>
      <c r="U590">
        <v>6881</v>
      </c>
      <c r="V590">
        <v>5</v>
      </c>
      <c r="W590" t="s">
        <v>42</v>
      </c>
      <c r="X590" t="s">
        <v>43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3</v>
      </c>
      <c r="AI590">
        <v>0</v>
      </c>
      <c r="AJ590">
        <v>3</v>
      </c>
    </row>
    <row r="591" spans="1:36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tr">
        <v>no</v>
      </c>
      <c r="S591" t="s">
        <v>48</v>
      </c>
      <c r="T591">
        <v>2319</v>
      </c>
      <c r="U591">
        <v>6689</v>
      </c>
      <c r="V591">
        <v>1</v>
      </c>
      <c r="W591" t="s">
        <v>42</v>
      </c>
      <c r="X591" t="s">
        <v>35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</row>
    <row r="592" spans="1:36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tr">
        <v>yes</v>
      </c>
      <c r="S592" t="s">
        <v>48</v>
      </c>
      <c r="T592">
        <v>11691</v>
      </c>
      <c r="U592">
        <v>25995</v>
      </c>
      <c r="V592">
        <v>0</v>
      </c>
      <c r="W592" t="s">
        <v>42</v>
      </c>
      <c r="X592" t="s">
        <v>43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9</v>
      </c>
      <c r="AI592">
        <v>3</v>
      </c>
      <c r="AJ592">
        <v>7</v>
      </c>
    </row>
    <row r="593" spans="1:36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tr">
        <v>no</v>
      </c>
      <c r="S593" t="s">
        <v>41</v>
      </c>
      <c r="T593">
        <v>5324</v>
      </c>
      <c r="U593">
        <v>26507</v>
      </c>
      <c r="V593">
        <v>5</v>
      </c>
      <c r="W593" t="s">
        <v>42</v>
      </c>
      <c r="X593" t="s">
        <v>43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2</v>
      </c>
      <c r="AI593">
        <v>0</v>
      </c>
      <c r="AJ593">
        <v>2</v>
      </c>
    </row>
    <row r="594" spans="1:36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tr">
        <v>yes</v>
      </c>
      <c r="S594" t="s">
        <v>48</v>
      </c>
      <c r="T594">
        <v>16752</v>
      </c>
      <c r="U594">
        <v>12982</v>
      </c>
      <c r="V594">
        <v>1</v>
      </c>
      <c r="W594" t="s">
        <v>42</v>
      </c>
      <c r="X594" t="s">
        <v>35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14</v>
      </c>
      <c r="AI594">
        <v>3</v>
      </c>
      <c r="AJ594">
        <v>0</v>
      </c>
    </row>
    <row r="595" spans="1:36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tr">
        <v>no</v>
      </c>
      <c r="S595" t="s">
        <v>48</v>
      </c>
      <c r="T595">
        <v>5228</v>
      </c>
      <c r="U595">
        <v>23361</v>
      </c>
      <c r="V595">
        <v>0</v>
      </c>
      <c r="W595" t="s">
        <v>42</v>
      </c>
      <c r="X595" t="s">
        <v>43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7</v>
      </c>
      <c r="AI595">
        <v>0</v>
      </c>
      <c r="AJ595">
        <v>5</v>
      </c>
    </row>
    <row r="596" spans="1:36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tr">
        <v>yes</v>
      </c>
      <c r="S596" t="s">
        <v>48</v>
      </c>
      <c r="T596">
        <v>2700</v>
      </c>
      <c r="U596">
        <v>23779</v>
      </c>
      <c r="V596">
        <v>1</v>
      </c>
      <c r="W596" t="s">
        <v>42</v>
      </c>
      <c r="X596" t="s">
        <v>43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7</v>
      </c>
      <c r="AI596">
        <v>0</v>
      </c>
      <c r="AJ596">
        <v>7</v>
      </c>
    </row>
    <row r="597" spans="1:36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tr">
        <v>no</v>
      </c>
      <c r="S597" t="s">
        <v>41</v>
      </c>
      <c r="T597">
        <v>19246</v>
      </c>
      <c r="U597">
        <v>25761</v>
      </c>
      <c r="V597">
        <v>7</v>
      </c>
      <c r="W597" t="s">
        <v>42</v>
      </c>
      <c r="X597" t="s">
        <v>35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15</v>
      </c>
      <c r="AI597">
        <v>13</v>
      </c>
      <c r="AJ597">
        <v>8</v>
      </c>
    </row>
    <row r="598" spans="1:36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tr">
        <v>yes</v>
      </c>
      <c r="S598" t="s">
        <v>41</v>
      </c>
      <c r="T598">
        <v>2506</v>
      </c>
      <c r="U598">
        <v>13301</v>
      </c>
      <c r="V598">
        <v>3</v>
      </c>
      <c r="W598" t="s">
        <v>42</v>
      </c>
      <c r="X598" t="s">
        <v>43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2</v>
      </c>
      <c r="AI598">
        <v>2</v>
      </c>
      <c r="AJ598">
        <v>2</v>
      </c>
    </row>
    <row r="599" spans="1:36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tr">
        <v>yes</v>
      </c>
      <c r="S599" t="s">
        <v>48</v>
      </c>
      <c r="T599">
        <v>6062</v>
      </c>
      <c r="U599">
        <v>4051</v>
      </c>
      <c r="V599">
        <v>9</v>
      </c>
      <c r="W599" t="s">
        <v>42</v>
      </c>
      <c r="X599" t="s">
        <v>35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3</v>
      </c>
      <c r="AI599">
        <v>0</v>
      </c>
      <c r="AJ599">
        <v>2</v>
      </c>
    </row>
    <row r="600" spans="1:36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tr">
        <v>yes</v>
      </c>
      <c r="S600" t="s">
        <v>41</v>
      </c>
      <c r="T600">
        <v>4382</v>
      </c>
      <c r="U600">
        <v>16374</v>
      </c>
      <c r="V600">
        <v>6</v>
      </c>
      <c r="W600" t="s">
        <v>42</v>
      </c>
      <c r="X600" t="s">
        <v>43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2</v>
      </c>
      <c r="AI600">
        <v>2</v>
      </c>
      <c r="AJ600">
        <v>1</v>
      </c>
    </row>
    <row r="601" spans="1:36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tr">
        <v>no</v>
      </c>
      <c r="S601" t="s">
        <v>48</v>
      </c>
      <c r="T601">
        <v>2143</v>
      </c>
      <c r="U601">
        <v>25527</v>
      </c>
      <c r="V601">
        <v>4</v>
      </c>
      <c r="W601" t="s">
        <v>42</v>
      </c>
      <c r="X601" t="s">
        <v>43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2</v>
      </c>
      <c r="AI601">
        <v>0</v>
      </c>
      <c r="AJ601">
        <v>4</v>
      </c>
    </row>
    <row r="602" spans="1:36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tr">
        <v>yes</v>
      </c>
      <c r="S602" t="s">
        <v>48</v>
      </c>
      <c r="T602">
        <v>6162</v>
      </c>
      <c r="U602">
        <v>19124</v>
      </c>
      <c r="V602">
        <v>1</v>
      </c>
      <c r="W602" t="s">
        <v>42</v>
      </c>
      <c r="X602" t="s">
        <v>43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13</v>
      </c>
      <c r="AI602">
        <v>6</v>
      </c>
      <c r="AJ602">
        <v>8</v>
      </c>
    </row>
    <row r="603" spans="1:36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tr">
        <v>yes</v>
      </c>
      <c r="S603" t="s">
        <v>41</v>
      </c>
      <c r="T603">
        <v>5094</v>
      </c>
      <c r="U603">
        <v>11983</v>
      </c>
      <c r="V603">
        <v>6</v>
      </c>
      <c r="W603" t="s">
        <v>42</v>
      </c>
      <c r="X603" t="s">
        <v>43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0</v>
      </c>
      <c r="AI603">
        <v>0</v>
      </c>
      <c r="AJ603">
        <v>0</v>
      </c>
    </row>
    <row r="604" spans="1:36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tr">
        <v>yes</v>
      </c>
      <c r="S604" t="s">
        <v>41</v>
      </c>
      <c r="T604">
        <v>6877</v>
      </c>
      <c r="U604">
        <v>20234</v>
      </c>
      <c r="V604">
        <v>5</v>
      </c>
      <c r="W604" t="s">
        <v>42</v>
      </c>
      <c r="X604" t="s">
        <v>35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0</v>
      </c>
      <c r="AI604">
        <v>0</v>
      </c>
      <c r="AJ604">
        <v>0</v>
      </c>
    </row>
    <row r="605" spans="1:36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tr">
        <v>yes</v>
      </c>
      <c r="S605" t="s">
        <v>41</v>
      </c>
      <c r="T605">
        <v>2274</v>
      </c>
      <c r="U605">
        <v>6153</v>
      </c>
      <c r="V605">
        <v>1</v>
      </c>
      <c r="W605" t="s">
        <v>42</v>
      </c>
      <c r="X605" t="s">
        <v>43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</row>
    <row r="606" spans="1:36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tr">
        <v>no</v>
      </c>
      <c r="S606" t="s">
        <v>48</v>
      </c>
      <c r="T606">
        <v>4434</v>
      </c>
      <c r="U606">
        <v>11806</v>
      </c>
      <c r="V606">
        <v>1</v>
      </c>
      <c r="W606" t="s">
        <v>42</v>
      </c>
      <c r="X606" t="s">
        <v>43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8</v>
      </c>
      <c r="AI606">
        <v>7</v>
      </c>
      <c r="AJ606">
        <v>8</v>
      </c>
    </row>
    <row r="607" spans="1:36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tr">
        <v>no</v>
      </c>
      <c r="S607" t="s">
        <v>52</v>
      </c>
      <c r="T607">
        <v>6288</v>
      </c>
      <c r="U607">
        <v>4284</v>
      </c>
      <c r="V607">
        <v>2</v>
      </c>
      <c r="W607" t="s">
        <v>42</v>
      </c>
      <c r="X607" t="s">
        <v>43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3</v>
      </c>
      <c r="AI607">
        <v>1</v>
      </c>
      <c r="AJ607">
        <v>2</v>
      </c>
    </row>
    <row r="608" spans="1:36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tr">
        <v>yes</v>
      </c>
      <c r="S608" t="s">
        <v>41</v>
      </c>
      <c r="T608">
        <v>2553</v>
      </c>
      <c r="U608">
        <v>8306</v>
      </c>
      <c r="V608">
        <v>1</v>
      </c>
      <c r="W608" t="s">
        <v>42</v>
      </c>
      <c r="X608" t="s">
        <v>43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2</v>
      </c>
      <c r="AI608">
        <v>1</v>
      </c>
      <c r="AJ608">
        <v>3</v>
      </c>
    </row>
    <row r="609" spans="1:36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tr">
        <v>yes</v>
      </c>
      <c r="S609" t="s">
        <v>48</v>
      </c>
      <c r="T609">
        <v>7654</v>
      </c>
      <c r="U609">
        <v>5860</v>
      </c>
      <c r="V609">
        <v>1</v>
      </c>
      <c r="W609" t="s">
        <v>42</v>
      </c>
      <c r="X609" t="s">
        <v>43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8</v>
      </c>
      <c r="AI609">
        <v>7</v>
      </c>
      <c r="AJ609">
        <v>7</v>
      </c>
    </row>
    <row r="610" spans="1:36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tr">
        <v>yes</v>
      </c>
      <c r="S610" t="s">
        <v>41</v>
      </c>
      <c r="T610">
        <v>5160</v>
      </c>
      <c r="U610">
        <v>21519</v>
      </c>
      <c r="V610">
        <v>4</v>
      </c>
      <c r="W610" t="s">
        <v>42</v>
      </c>
      <c r="X610" t="s">
        <v>43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7</v>
      </c>
      <c r="AI610">
        <v>7</v>
      </c>
      <c r="AJ610">
        <v>3</v>
      </c>
    </row>
    <row r="611" spans="1:36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tr">
        <v>no</v>
      </c>
      <c r="S611" t="s">
        <v>48</v>
      </c>
      <c r="T611">
        <v>17159</v>
      </c>
      <c r="U611">
        <v>5200</v>
      </c>
      <c r="V611">
        <v>6</v>
      </c>
      <c r="W611" t="s">
        <v>42</v>
      </c>
      <c r="X611" t="s">
        <v>43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</v>
      </c>
      <c r="AI611">
        <v>1</v>
      </c>
      <c r="AJ611">
        <v>0</v>
      </c>
    </row>
    <row r="612" spans="1:36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tr">
        <v>yes</v>
      </c>
      <c r="S612" t="s">
        <v>52</v>
      </c>
      <c r="T612">
        <v>12808</v>
      </c>
      <c r="U612">
        <v>8842</v>
      </c>
      <c r="V612">
        <v>1</v>
      </c>
      <c r="W612" t="s">
        <v>42</v>
      </c>
      <c r="X612" t="s">
        <v>35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8</v>
      </c>
      <c r="AI612">
        <v>0</v>
      </c>
      <c r="AJ612">
        <v>8</v>
      </c>
    </row>
    <row r="613" spans="1:36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tr">
        <v>yes</v>
      </c>
      <c r="S613" t="s">
        <v>41</v>
      </c>
      <c r="T613">
        <v>10221</v>
      </c>
      <c r="U613">
        <v>18869</v>
      </c>
      <c r="V613">
        <v>3</v>
      </c>
      <c r="W613" t="s">
        <v>42</v>
      </c>
      <c r="X613" t="s">
        <v>43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5</v>
      </c>
      <c r="AI613">
        <v>1</v>
      </c>
      <c r="AJ613">
        <v>6</v>
      </c>
    </row>
    <row r="614" spans="1:36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tr">
        <v>no</v>
      </c>
      <c r="S614" t="s">
        <v>48</v>
      </c>
      <c r="T614">
        <v>4779</v>
      </c>
      <c r="U614">
        <v>3698</v>
      </c>
      <c r="V614">
        <v>1</v>
      </c>
      <c r="W614" t="s">
        <v>42</v>
      </c>
      <c r="X614" t="s">
        <v>35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7</v>
      </c>
      <c r="AI614">
        <v>7</v>
      </c>
      <c r="AJ614">
        <v>5</v>
      </c>
    </row>
    <row r="615" spans="1:36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tr">
        <v>yes</v>
      </c>
      <c r="S615" t="s">
        <v>48</v>
      </c>
      <c r="T615">
        <v>3737</v>
      </c>
      <c r="U615">
        <v>2243</v>
      </c>
      <c r="V615">
        <v>0</v>
      </c>
      <c r="W615" t="s">
        <v>42</v>
      </c>
      <c r="X615" t="s">
        <v>43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2</v>
      </c>
      <c r="AI615">
        <v>0</v>
      </c>
      <c r="AJ615">
        <v>2</v>
      </c>
    </row>
    <row r="616" spans="1:36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tr">
        <v>yes</v>
      </c>
      <c r="S616" t="s">
        <v>48</v>
      </c>
      <c r="T616">
        <v>2366</v>
      </c>
      <c r="U616">
        <v>20898</v>
      </c>
      <c r="V616">
        <v>1</v>
      </c>
      <c r="W616" t="s">
        <v>42</v>
      </c>
      <c r="X616" t="s">
        <v>35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7</v>
      </c>
      <c r="AI616">
        <v>1</v>
      </c>
      <c r="AJ616">
        <v>7</v>
      </c>
    </row>
    <row r="617" spans="1:36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tr">
        <v>yes</v>
      </c>
      <c r="S617" t="s">
        <v>48</v>
      </c>
      <c r="T617">
        <v>1706</v>
      </c>
      <c r="U617">
        <v>16571</v>
      </c>
      <c r="V617">
        <v>1</v>
      </c>
      <c r="W617" t="s">
        <v>42</v>
      </c>
      <c r="X617" t="s">
        <v>43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</row>
    <row r="618" spans="1:36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tr">
        <v>yes</v>
      </c>
      <c r="S618" t="s">
        <v>48</v>
      </c>
      <c r="T618">
        <v>16307</v>
      </c>
      <c r="U618">
        <v>5594</v>
      </c>
      <c r="V618">
        <v>2</v>
      </c>
      <c r="W618" t="s">
        <v>42</v>
      </c>
      <c r="X618" t="s">
        <v>43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6</v>
      </c>
      <c r="AI618">
        <v>4</v>
      </c>
      <c r="AJ618">
        <v>17</v>
      </c>
    </row>
    <row r="619" spans="1:36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tr">
        <v>no</v>
      </c>
      <c r="S619" t="s">
        <v>41</v>
      </c>
      <c r="T619">
        <v>5933</v>
      </c>
      <c r="U619">
        <v>5197</v>
      </c>
      <c r="V619">
        <v>9</v>
      </c>
      <c r="W619" t="s">
        <v>42</v>
      </c>
      <c r="X619" t="s">
        <v>43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2</v>
      </c>
      <c r="AI619">
        <v>2</v>
      </c>
      <c r="AJ619">
        <v>3</v>
      </c>
    </row>
    <row r="620" spans="1:36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tr">
        <v>no</v>
      </c>
      <c r="S620" t="s">
        <v>41</v>
      </c>
      <c r="T620">
        <v>3424</v>
      </c>
      <c r="U620">
        <v>21632</v>
      </c>
      <c r="V620">
        <v>7</v>
      </c>
      <c r="W620" t="s">
        <v>42</v>
      </c>
      <c r="X620" t="s">
        <v>43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3</v>
      </c>
      <c r="AI620">
        <v>0</v>
      </c>
      <c r="AJ620">
        <v>1</v>
      </c>
    </row>
    <row r="621" spans="1:36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tr">
        <v>no</v>
      </c>
      <c r="S621" t="s">
        <v>52</v>
      </c>
      <c r="T621">
        <v>4037</v>
      </c>
      <c r="U621">
        <v>21816</v>
      </c>
      <c r="V621">
        <v>1</v>
      </c>
      <c r="W621" t="s">
        <v>42</v>
      </c>
      <c r="X621" t="s">
        <v>43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8</v>
      </c>
      <c r="AI621">
        <v>0</v>
      </c>
      <c r="AJ621">
        <v>8</v>
      </c>
    </row>
    <row r="622" spans="1:36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tr">
        <v>no</v>
      </c>
      <c r="S622" t="s">
        <v>41</v>
      </c>
      <c r="T622">
        <v>2559</v>
      </c>
      <c r="U622">
        <v>17852</v>
      </c>
      <c r="V622">
        <v>1</v>
      </c>
      <c r="W622" t="s">
        <v>42</v>
      </c>
      <c r="X622" t="s">
        <v>43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5</v>
      </c>
      <c r="AI622">
        <v>1</v>
      </c>
      <c r="AJ622">
        <v>1</v>
      </c>
    </row>
    <row r="623" spans="1:36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tr">
        <v>yes</v>
      </c>
      <c r="S623" t="s">
        <v>48</v>
      </c>
      <c r="T623">
        <v>6201</v>
      </c>
      <c r="U623">
        <v>2823</v>
      </c>
      <c r="V623">
        <v>1</v>
      </c>
      <c r="W623" t="s">
        <v>42</v>
      </c>
      <c r="X623" t="s">
        <v>35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14</v>
      </c>
      <c r="AI623">
        <v>4</v>
      </c>
      <c r="AJ623">
        <v>11</v>
      </c>
    </row>
    <row r="624" spans="1:36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tr">
        <v>yes</v>
      </c>
      <c r="S624" t="s">
        <v>52</v>
      </c>
      <c r="T624">
        <v>4403</v>
      </c>
      <c r="U624">
        <v>9250</v>
      </c>
      <c r="V624">
        <v>2</v>
      </c>
      <c r="W624" t="s">
        <v>42</v>
      </c>
      <c r="X624" t="s">
        <v>43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2</v>
      </c>
      <c r="AI624">
        <v>0</v>
      </c>
      <c r="AJ624">
        <v>3</v>
      </c>
    </row>
    <row r="625" spans="1:36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tr">
        <v>yes</v>
      </c>
      <c r="S625" t="s">
        <v>52</v>
      </c>
      <c r="T625">
        <v>3761</v>
      </c>
      <c r="U625">
        <v>2373</v>
      </c>
      <c r="V625">
        <v>9</v>
      </c>
      <c r="W625" t="s">
        <v>42</v>
      </c>
      <c r="X625" t="s">
        <v>43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4</v>
      </c>
      <c r="AI625">
        <v>0</v>
      </c>
      <c r="AJ625">
        <v>3</v>
      </c>
    </row>
    <row r="626" spans="1:36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tr">
        <v>yes</v>
      </c>
      <c r="S626" t="s">
        <v>48</v>
      </c>
      <c r="T626">
        <v>10934</v>
      </c>
      <c r="U626">
        <v>20715</v>
      </c>
      <c r="V626">
        <v>7</v>
      </c>
      <c r="W626" t="s">
        <v>42</v>
      </c>
      <c r="X626" t="s">
        <v>35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2</v>
      </c>
      <c r="AI626">
        <v>0</v>
      </c>
      <c r="AJ626">
        <v>4</v>
      </c>
    </row>
    <row r="627" spans="1:36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tr">
        <v>no</v>
      </c>
      <c r="S627" t="s">
        <v>52</v>
      </c>
      <c r="T627">
        <v>10761</v>
      </c>
      <c r="U627">
        <v>19239</v>
      </c>
      <c r="V627">
        <v>4</v>
      </c>
      <c r="W627" t="s">
        <v>42</v>
      </c>
      <c r="X627" t="s">
        <v>35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4</v>
      </c>
      <c r="AI627">
        <v>0</v>
      </c>
      <c r="AJ627">
        <v>2</v>
      </c>
    </row>
    <row r="628" spans="1:36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tr">
        <v>yes</v>
      </c>
      <c r="S628" t="s">
        <v>48</v>
      </c>
      <c r="T628">
        <v>5175</v>
      </c>
      <c r="U628">
        <v>22162</v>
      </c>
      <c r="V628">
        <v>5</v>
      </c>
      <c r="W628" t="s">
        <v>42</v>
      </c>
      <c r="X628" t="s">
        <v>43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3</v>
      </c>
      <c r="AI628">
        <v>1</v>
      </c>
      <c r="AJ628">
        <v>3</v>
      </c>
    </row>
    <row r="629" spans="1:36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tr">
        <v>yes</v>
      </c>
      <c r="S629" t="s">
        <v>48</v>
      </c>
      <c r="T629">
        <v>13826</v>
      </c>
      <c r="U629">
        <v>19028</v>
      </c>
      <c r="V629">
        <v>3</v>
      </c>
      <c r="W629" t="s">
        <v>42</v>
      </c>
      <c r="X629" t="s">
        <v>43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8</v>
      </c>
      <c r="AI629">
        <v>0</v>
      </c>
      <c r="AJ629">
        <v>0</v>
      </c>
    </row>
    <row r="630" spans="1:36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tr">
        <v>yes</v>
      </c>
      <c r="S630" t="s">
        <v>52</v>
      </c>
      <c r="T630">
        <v>6334</v>
      </c>
      <c r="U630">
        <v>24558</v>
      </c>
      <c r="V630">
        <v>4</v>
      </c>
      <c r="W630" t="s">
        <v>42</v>
      </c>
      <c r="X630" t="s">
        <v>43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0</v>
      </c>
      <c r="AI630">
        <v>0</v>
      </c>
      <c r="AJ630">
        <v>0</v>
      </c>
    </row>
    <row r="631" spans="1:36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tr">
        <v>yes</v>
      </c>
      <c r="S631" t="s">
        <v>52</v>
      </c>
      <c r="T631">
        <v>4936</v>
      </c>
      <c r="U631">
        <v>23965</v>
      </c>
      <c r="V631">
        <v>1</v>
      </c>
      <c r="W631" t="s">
        <v>42</v>
      </c>
      <c r="X631" t="s">
        <v>43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0</v>
      </c>
      <c r="AJ631">
        <v>4</v>
      </c>
    </row>
    <row r="632" spans="1:36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tr">
        <v>yes</v>
      </c>
      <c r="S632" t="s">
        <v>48</v>
      </c>
      <c r="T632">
        <v>4775</v>
      </c>
      <c r="U632">
        <v>19146</v>
      </c>
      <c r="V632">
        <v>6</v>
      </c>
      <c r="W632" t="s">
        <v>42</v>
      </c>
      <c r="X632" t="s">
        <v>43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</row>
    <row r="633" spans="1:36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tr">
        <v>yes</v>
      </c>
      <c r="S633" t="s">
        <v>48</v>
      </c>
      <c r="T633">
        <v>2818</v>
      </c>
      <c r="U633">
        <v>5044</v>
      </c>
      <c r="V633">
        <v>2</v>
      </c>
      <c r="W633" t="s">
        <v>42</v>
      </c>
      <c r="X633" t="s">
        <v>35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2</v>
      </c>
      <c r="AI633">
        <v>0</v>
      </c>
      <c r="AJ633">
        <v>2</v>
      </c>
    </row>
    <row r="634" spans="1:36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tr">
        <v>yes</v>
      </c>
      <c r="S634" t="s">
        <v>41</v>
      </c>
      <c r="T634">
        <v>2515</v>
      </c>
      <c r="U634">
        <v>9068</v>
      </c>
      <c r="V634">
        <v>5</v>
      </c>
      <c r="W634" t="s">
        <v>42</v>
      </c>
      <c r="X634" t="s">
        <v>35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1</v>
      </c>
      <c r="AI634">
        <v>2</v>
      </c>
      <c r="AJ634">
        <v>2</v>
      </c>
    </row>
    <row r="635" spans="1:36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tr">
        <v>no</v>
      </c>
      <c r="S635" t="s">
        <v>48</v>
      </c>
      <c r="T635">
        <v>2342</v>
      </c>
      <c r="U635">
        <v>8635</v>
      </c>
      <c r="V635">
        <v>0</v>
      </c>
      <c r="W635" t="s">
        <v>42</v>
      </c>
      <c r="X635" t="s">
        <v>43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4</v>
      </c>
      <c r="AI635">
        <v>0</v>
      </c>
      <c r="AJ635">
        <v>3</v>
      </c>
    </row>
    <row r="636" spans="1:36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tr">
        <v>no</v>
      </c>
      <c r="S636" t="s">
        <v>48</v>
      </c>
      <c r="T636">
        <v>4194</v>
      </c>
      <c r="U636">
        <v>14363</v>
      </c>
      <c r="V636">
        <v>1</v>
      </c>
      <c r="W636" t="s">
        <v>42</v>
      </c>
      <c r="X636" t="s">
        <v>35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3</v>
      </c>
      <c r="AI636">
        <v>0</v>
      </c>
      <c r="AJ636">
        <v>3</v>
      </c>
    </row>
    <row r="637" spans="1:36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tr">
        <v>yes</v>
      </c>
      <c r="S637" t="s">
        <v>48</v>
      </c>
      <c r="T637">
        <v>10685</v>
      </c>
      <c r="U637">
        <v>23457</v>
      </c>
      <c r="V637">
        <v>1</v>
      </c>
      <c r="W637" t="s">
        <v>42</v>
      </c>
      <c r="X637" t="s">
        <v>35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14</v>
      </c>
      <c r="AI637">
        <v>5</v>
      </c>
      <c r="AJ637">
        <v>15</v>
      </c>
    </row>
    <row r="638" spans="1:36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tr">
        <v>no</v>
      </c>
      <c r="S638" t="s">
        <v>52</v>
      </c>
      <c r="T638">
        <v>2022</v>
      </c>
      <c r="U638">
        <v>16612</v>
      </c>
      <c r="V638">
        <v>1</v>
      </c>
      <c r="W638" t="s">
        <v>42</v>
      </c>
      <c r="X638" t="s">
        <v>35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2</v>
      </c>
      <c r="AI638">
        <v>7</v>
      </c>
      <c r="AJ638">
        <v>8</v>
      </c>
    </row>
    <row r="639" spans="1:36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tr">
        <v>yes</v>
      </c>
      <c r="S639" t="s">
        <v>52</v>
      </c>
      <c r="T639">
        <v>2314</v>
      </c>
      <c r="U639">
        <v>9148</v>
      </c>
      <c r="V639">
        <v>0</v>
      </c>
      <c r="W639" t="s">
        <v>42</v>
      </c>
      <c r="X639" t="s">
        <v>43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0</v>
      </c>
      <c r="AI639">
        <v>0</v>
      </c>
      <c r="AJ639">
        <v>2</v>
      </c>
    </row>
    <row r="640" spans="1:36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tr">
        <v>no</v>
      </c>
      <c r="S640" t="s">
        <v>48</v>
      </c>
      <c r="T640">
        <v>4256</v>
      </c>
      <c r="U640">
        <v>18154</v>
      </c>
      <c r="V640">
        <v>1</v>
      </c>
      <c r="W640" t="s">
        <v>42</v>
      </c>
      <c r="X640" t="s">
        <v>43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2</v>
      </c>
      <c r="AI640">
        <v>0</v>
      </c>
      <c r="AJ640">
        <v>3</v>
      </c>
    </row>
    <row r="641" spans="1:36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tr">
        <v>no</v>
      </c>
      <c r="S641" t="s">
        <v>48</v>
      </c>
      <c r="T641">
        <v>3580</v>
      </c>
      <c r="U641">
        <v>10554</v>
      </c>
      <c r="V641">
        <v>2</v>
      </c>
      <c r="W641" t="s">
        <v>42</v>
      </c>
      <c r="X641" t="s">
        <v>43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2</v>
      </c>
      <c r="AI641">
        <v>0</v>
      </c>
      <c r="AJ641">
        <v>2</v>
      </c>
    </row>
    <row r="642" spans="1:36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tr">
        <v>yes</v>
      </c>
      <c r="S642" t="s">
        <v>48</v>
      </c>
      <c r="T642">
        <v>3162</v>
      </c>
      <c r="U642">
        <v>10778</v>
      </c>
      <c r="V642">
        <v>0</v>
      </c>
      <c r="W642" t="s">
        <v>42</v>
      </c>
      <c r="X642" t="s">
        <v>43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2</v>
      </c>
      <c r="AI642">
        <v>3</v>
      </c>
      <c r="AJ642">
        <v>4</v>
      </c>
    </row>
    <row r="643" spans="1:36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tr">
        <v>no</v>
      </c>
      <c r="S643" t="s">
        <v>48</v>
      </c>
      <c r="T643">
        <v>6524</v>
      </c>
      <c r="U643">
        <v>8891</v>
      </c>
      <c r="V643">
        <v>1</v>
      </c>
      <c r="W643" t="s">
        <v>42</v>
      </c>
      <c r="X643" t="s">
        <v>43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8</v>
      </c>
      <c r="AI643">
        <v>5</v>
      </c>
      <c r="AJ643">
        <v>3</v>
      </c>
    </row>
    <row r="644" spans="1:36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tr">
        <v>no</v>
      </c>
      <c r="S644" t="s">
        <v>48</v>
      </c>
      <c r="T644">
        <v>2899</v>
      </c>
      <c r="U644">
        <v>12102</v>
      </c>
      <c r="V644">
        <v>0</v>
      </c>
      <c r="W644" t="s">
        <v>42</v>
      </c>
      <c r="X644" t="s">
        <v>43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2</v>
      </c>
      <c r="AI644">
        <v>1</v>
      </c>
      <c r="AJ644">
        <v>2</v>
      </c>
    </row>
    <row r="645" spans="1:36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tr">
        <v>yes</v>
      </c>
      <c r="S645" t="s">
        <v>48</v>
      </c>
      <c r="T645">
        <v>5231</v>
      </c>
      <c r="U645">
        <v>23726</v>
      </c>
      <c r="V645">
        <v>2</v>
      </c>
      <c r="W645" t="s">
        <v>42</v>
      </c>
      <c r="X645" t="s">
        <v>35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3</v>
      </c>
      <c r="AI645">
        <v>1</v>
      </c>
      <c r="AJ645">
        <v>3</v>
      </c>
    </row>
    <row r="646" spans="1:36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tr">
        <v>yes</v>
      </c>
      <c r="S646" t="s">
        <v>48</v>
      </c>
      <c r="T646">
        <v>2356</v>
      </c>
      <c r="U646">
        <v>14871</v>
      </c>
      <c r="V646">
        <v>3</v>
      </c>
      <c r="W646" t="s">
        <v>42</v>
      </c>
      <c r="X646" t="s">
        <v>35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4</v>
      </c>
      <c r="AI646">
        <v>0</v>
      </c>
      <c r="AJ646">
        <v>2</v>
      </c>
    </row>
    <row r="647" spans="1:36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tr">
        <v>yes</v>
      </c>
      <c r="S647" t="s">
        <v>52</v>
      </c>
      <c r="T647">
        <v>2800</v>
      </c>
      <c r="U647">
        <v>23522</v>
      </c>
      <c r="V647">
        <v>6</v>
      </c>
      <c r="W647" t="s">
        <v>42</v>
      </c>
      <c r="X647" t="s">
        <v>35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0</v>
      </c>
      <c r="AJ647">
        <v>2</v>
      </c>
    </row>
    <row r="648" spans="1:36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tr">
        <v>yes</v>
      </c>
      <c r="S648" t="s">
        <v>48</v>
      </c>
      <c r="T648">
        <v>11836</v>
      </c>
      <c r="U648">
        <v>22789</v>
      </c>
      <c r="V648">
        <v>5</v>
      </c>
      <c r="W648" t="s">
        <v>42</v>
      </c>
      <c r="X648" t="s">
        <v>43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0</v>
      </c>
      <c r="AI648">
        <v>2</v>
      </c>
      <c r="AJ648">
        <v>2</v>
      </c>
    </row>
    <row r="649" spans="1:36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tr">
        <v>no</v>
      </c>
      <c r="S649" t="s">
        <v>48</v>
      </c>
      <c r="T649">
        <v>10903</v>
      </c>
      <c r="U649">
        <v>9129</v>
      </c>
      <c r="V649">
        <v>3</v>
      </c>
      <c r="W649" t="s">
        <v>42</v>
      </c>
      <c r="X649" t="s">
        <v>43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10</v>
      </c>
      <c r="AI649">
        <v>4</v>
      </c>
      <c r="AJ649">
        <v>8</v>
      </c>
    </row>
    <row r="650" spans="1:36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tr">
        <v>yes</v>
      </c>
      <c r="S650" t="s">
        <v>48</v>
      </c>
      <c r="T650">
        <v>2973</v>
      </c>
      <c r="U650">
        <v>21222</v>
      </c>
      <c r="V650">
        <v>5</v>
      </c>
      <c r="W650" t="s">
        <v>42</v>
      </c>
      <c r="X650" t="s">
        <v>43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4</v>
      </c>
      <c r="AI650">
        <v>0</v>
      </c>
      <c r="AJ650">
        <v>0</v>
      </c>
    </row>
    <row r="651" spans="1:36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tr">
        <v>yes</v>
      </c>
      <c r="S651" t="s">
        <v>41</v>
      </c>
      <c r="T651">
        <v>14275</v>
      </c>
      <c r="U651">
        <v>20206</v>
      </c>
      <c r="V651">
        <v>6</v>
      </c>
      <c r="W651" t="s">
        <v>42</v>
      </c>
      <c r="X651" t="s">
        <v>43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9</v>
      </c>
      <c r="AI651">
        <v>3</v>
      </c>
      <c r="AJ651">
        <v>8</v>
      </c>
    </row>
    <row r="652" spans="1:36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tr">
        <v>yes</v>
      </c>
      <c r="S652" t="s">
        <v>48</v>
      </c>
      <c r="T652">
        <v>5562</v>
      </c>
      <c r="U652">
        <v>21782</v>
      </c>
      <c r="V652">
        <v>4</v>
      </c>
      <c r="W652" t="s">
        <v>42</v>
      </c>
      <c r="X652" t="s">
        <v>43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2</v>
      </c>
      <c r="AI652">
        <v>2</v>
      </c>
      <c r="AJ652">
        <v>2</v>
      </c>
    </row>
    <row r="653" spans="1:36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tr">
        <v>yes</v>
      </c>
      <c r="S653" t="s">
        <v>48</v>
      </c>
      <c r="T653">
        <v>4537</v>
      </c>
      <c r="U653">
        <v>17783</v>
      </c>
      <c r="V653">
        <v>0</v>
      </c>
      <c r="W653" t="s">
        <v>42</v>
      </c>
      <c r="X653" t="s">
        <v>35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6</v>
      </c>
      <c r="AI653">
        <v>7</v>
      </c>
      <c r="AJ653">
        <v>7</v>
      </c>
    </row>
    <row r="654" spans="1:36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tr">
        <v>no</v>
      </c>
      <c r="S654" t="s">
        <v>41</v>
      </c>
      <c r="T654">
        <v>7642</v>
      </c>
      <c r="U654">
        <v>4814</v>
      </c>
      <c r="V654">
        <v>1</v>
      </c>
      <c r="W654" t="s">
        <v>42</v>
      </c>
      <c r="X654" t="s">
        <v>35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9</v>
      </c>
    </row>
    <row r="655" spans="1:36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tr">
        <v>no</v>
      </c>
      <c r="S655" t="s">
        <v>52</v>
      </c>
      <c r="T655">
        <v>17924</v>
      </c>
      <c r="U655">
        <v>4544</v>
      </c>
      <c r="V655">
        <v>1</v>
      </c>
      <c r="W655" t="s">
        <v>42</v>
      </c>
      <c r="X655" t="s">
        <v>43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6</v>
      </c>
      <c r="AI655">
        <v>14</v>
      </c>
      <c r="AJ655">
        <v>7</v>
      </c>
    </row>
    <row r="656" spans="1:36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tr">
        <v>yes</v>
      </c>
      <c r="S656" t="s">
        <v>48</v>
      </c>
      <c r="T656">
        <v>5204</v>
      </c>
      <c r="U656">
        <v>7790</v>
      </c>
      <c r="V656">
        <v>8</v>
      </c>
      <c r="W656" t="s">
        <v>42</v>
      </c>
      <c r="X656" t="s">
        <v>43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4</v>
      </c>
      <c r="AI656">
        <v>0</v>
      </c>
      <c r="AJ656">
        <v>4</v>
      </c>
    </row>
    <row r="657" spans="1:36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tr">
        <v>no</v>
      </c>
      <c r="S657" t="s">
        <v>52</v>
      </c>
      <c r="T657">
        <v>2277</v>
      </c>
      <c r="U657">
        <v>22650</v>
      </c>
      <c r="V657">
        <v>3</v>
      </c>
      <c r="W657" t="s">
        <v>42</v>
      </c>
      <c r="X657" t="s">
        <v>35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0</v>
      </c>
      <c r="AJ657">
        <v>3</v>
      </c>
    </row>
    <row r="658" spans="1:36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tr">
        <v>yes</v>
      </c>
      <c r="S658" t="s">
        <v>41</v>
      </c>
      <c r="T658">
        <v>2795</v>
      </c>
      <c r="U658">
        <v>18016</v>
      </c>
      <c r="V658">
        <v>1</v>
      </c>
      <c r="W658" t="s">
        <v>42</v>
      </c>
      <c r="X658" t="s">
        <v>35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1</v>
      </c>
    </row>
    <row r="659" spans="1:36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tr">
        <v>yes</v>
      </c>
      <c r="S659" t="s">
        <v>52</v>
      </c>
      <c r="T659">
        <v>2532</v>
      </c>
      <c r="U659">
        <v>6054</v>
      </c>
      <c r="V659">
        <v>6</v>
      </c>
      <c r="W659" t="s">
        <v>42</v>
      </c>
      <c r="X659" t="s">
        <v>43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3</v>
      </c>
      <c r="AI659">
        <v>0</v>
      </c>
      <c r="AJ659">
        <v>3</v>
      </c>
    </row>
    <row r="660" spans="1:36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tr">
        <v>no</v>
      </c>
      <c r="S660" t="s">
        <v>48</v>
      </c>
      <c r="T660">
        <v>2559</v>
      </c>
      <c r="U660">
        <v>7508</v>
      </c>
      <c r="V660">
        <v>1</v>
      </c>
      <c r="W660" t="s">
        <v>42</v>
      </c>
      <c r="X660" t="s">
        <v>35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7</v>
      </c>
      <c r="AI660">
        <v>7</v>
      </c>
      <c r="AJ660">
        <v>1</v>
      </c>
    </row>
    <row r="661" spans="1:36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tr">
        <v>yes</v>
      </c>
      <c r="S661" t="s">
        <v>41</v>
      </c>
      <c r="T661">
        <v>4908</v>
      </c>
      <c r="U661">
        <v>24252</v>
      </c>
      <c r="V661">
        <v>1</v>
      </c>
      <c r="W661" t="s">
        <v>42</v>
      </c>
      <c r="X661" t="s">
        <v>43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2</v>
      </c>
      <c r="AI661">
        <v>0</v>
      </c>
      <c r="AJ661">
        <v>2</v>
      </c>
    </row>
    <row r="662" spans="1:36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tr">
        <v>yes</v>
      </c>
      <c r="S662" t="s">
        <v>52</v>
      </c>
      <c r="T662">
        <v>2380</v>
      </c>
      <c r="U662">
        <v>13384</v>
      </c>
      <c r="V662">
        <v>9</v>
      </c>
      <c r="W662" t="s">
        <v>42</v>
      </c>
      <c r="X662" t="s">
        <v>35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0</v>
      </c>
      <c r="AI662">
        <v>0</v>
      </c>
      <c r="AJ662">
        <v>0</v>
      </c>
    </row>
    <row r="663" spans="1:36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tr">
        <v>no</v>
      </c>
      <c r="S663" t="s">
        <v>52</v>
      </c>
      <c r="T663">
        <v>4765</v>
      </c>
      <c r="U663">
        <v>23814</v>
      </c>
      <c r="V663">
        <v>4</v>
      </c>
      <c r="W663" t="s">
        <v>42</v>
      </c>
      <c r="X663" t="s">
        <v>43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0</v>
      </c>
      <c r="AI663">
        <v>0</v>
      </c>
      <c r="AJ663">
        <v>0</v>
      </c>
    </row>
    <row r="664" spans="1:36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tr">
        <v>yes</v>
      </c>
      <c r="S664" t="s">
        <v>41</v>
      </c>
      <c r="T664">
        <v>2044</v>
      </c>
      <c r="U664">
        <v>22052</v>
      </c>
      <c r="V664">
        <v>1</v>
      </c>
      <c r="W664" t="s">
        <v>42</v>
      </c>
      <c r="X664" t="s">
        <v>43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2</v>
      </c>
      <c r="AI664">
        <v>0</v>
      </c>
      <c r="AJ664">
        <v>2</v>
      </c>
    </row>
    <row r="665" spans="1:36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tr">
        <v>yes</v>
      </c>
      <c r="S665" t="s">
        <v>41</v>
      </c>
      <c r="T665">
        <v>2693</v>
      </c>
      <c r="U665">
        <v>8870</v>
      </c>
      <c r="V665">
        <v>1</v>
      </c>
      <c r="W665" t="s">
        <v>42</v>
      </c>
      <c r="X665" t="s">
        <v>43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</row>
    <row r="666" spans="1:36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tr">
        <v>yes</v>
      </c>
      <c r="S666" t="s">
        <v>48</v>
      </c>
      <c r="T666">
        <v>6586</v>
      </c>
      <c r="U666">
        <v>4821</v>
      </c>
      <c r="V666">
        <v>0</v>
      </c>
      <c r="W666" t="s">
        <v>42</v>
      </c>
      <c r="X666" t="s">
        <v>35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8</v>
      </c>
      <c r="AI666">
        <v>4</v>
      </c>
      <c r="AJ666">
        <v>11</v>
      </c>
    </row>
    <row r="667" spans="1:36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tr">
        <v>yes</v>
      </c>
      <c r="S667" t="s">
        <v>41</v>
      </c>
      <c r="T667">
        <v>3294</v>
      </c>
      <c r="U667">
        <v>13137</v>
      </c>
      <c r="V667">
        <v>1</v>
      </c>
      <c r="W667" t="s">
        <v>42</v>
      </c>
      <c r="X667" t="s">
        <v>35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2</v>
      </c>
      <c r="AI667">
        <v>1</v>
      </c>
      <c r="AJ667">
        <v>2</v>
      </c>
    </row>
    <row r="668" spans="1:36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tr">
        <v>yes</v>
      </c>
      <c r="S668" t="s">
        <v>48</v>
      </c>
      <c r="T668">
        <v>4171</v>
      </c>
      <c r="U668">
        <v>10022</v>
      </c>
      <c r="V668">
        <v>0</v>
      </c>
      <c r="W668" t="s">
        <v>42</v>
      </c>
      <c r="X668" t="s">
        <v>35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2</v>
      </c>
      <c r="AI668">
        <v>0</v>
      </c>
      <c r="AJ668">
        <v>2</v>
      </c>
    </row>
    <row r="669" spans="1:36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tr">
        <v>yes</v>
      </c>
      <c r="S669" t="s">
        <v>52</v>
      </c>
      <c r="T669">
        <v>2778</v>
      </c>
      <c r="U669">
        <v>17725</v>
      </c>
      <c r="V669">
        <v>4</v>
      </c>
      <c r="W669" t="s">
        <v>42</v>
      </c>
      <c r="X669" t="s">
        <v>35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7</v>
      </c>
      <c r="AI669">
        <v>1</v>
      </c>
      <c r="AJ669">
        <v>0</v>
      </c>
    </row>
    <row r="670" spans="1:36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tr">
        <v>yes</v>
      </c>
      <c r="S670" t="s">
        <v>52</v>
      </c>
      <c r="T670">
        <v>2377</v>
      </c>
      <c r="U670">
        <v>9834</v>
      </c>
      <c r="V670">
        <v>5</v>
      </c>
      <c r="W670" t="s">
        <v>42</v>
      </c>
      <c r="X670" t="s">
        <v>43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2</v>
      </c>
      <c r="AI670">
        <v>2</v>
      </c>
      <c r="AJ670">
        <v>2</v>
      </c>
    </row>
    <row r="671" spans="1:36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tr">
        <v>no</v>
      </c>
      <c r="S671" t="s">
        <v>48</v>
      </c>
      <c r="T671">
        <v>2404</v>
      </c>
      <c r="U671">
        <v>4303</v>
      </c>
      <c r="V671">
        <v>7</v>
      </c>
      <c r="W671" t="s">
        <v>42</v>
      </c>
      <c r="X671" t="s">
        <v>35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2</v>
      </c>
      <c r="AI671">
        <v>2</v>
      </c>
      <c r="AJ671">
        <v>2</v>
      </c>
    </row>
    <row r="672" spans="1:36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tr">
        <v>yes</v>
      </c>
      <c r="S672" t="s">
        <v>41</v>
      </c>
      <c r="T672">
        <v>2318</v>
      </c>
      <c r="U672">
        <v>17808</v>
      </c>
      <c r="V672">
        <v>1</v>
      </c>
      <c r="W672" t="s">
        <v>42</v>
      </c>
      <c r="X672" t="s">
        <v>43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1</v>
      </c>
      <c r="AI672">
        <v>0</v>
      </c>
      <c r="AJ672">
        <v>0</v>
      </c>
    </row>
    <row r="673" spans="1:36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tr">
        <v>no</v>
      </c>
      <c r="S673" t="s">
        <v>52</v>
      </c>
      <c r="T673">
        <v>2008</v>
      </c>
      <c r="U673">
        <v>6896</v>
      </c>
      <c r="V673">
        <v>1</v>
      </c>
      <c r="W673" t="s">
        <v>42</v>
      </c>
      <c r="X673" t="s">
        <v>43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1</v>
      </c>
      <c r="AJ673">
        <v>0</v>
      </c>
    </row>
    <row r="674" spans="1:36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tr">
        <v>yes</v>
      </c>
      <c r="S674" t="s">
        <v>41</v>
      </c>
      <c r="T674">
        <v>6244</v>
      </c>
      <c r="U674">
        <v>7824</v>
      </c>
      <c r="V674">
        <v>7</v>
      </c>
      <c r="W674" t="s">
        <v>42</v>
      </c>
      <c r="X674" t="s">
        <v>43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4</v>
      </c>
      <c r="AI674">
        <v>0</v>
      </c>
      <c r="AJ674">
        <v>3</v>
      </c>
    </row>
    <row r="675" spans="1:36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tr">
        <v>no</v>
      </c>
      <c r="S675" t="s">
        <v>41</v>
      </c>
      <c r="T675">
        <v>2799</v>
      </c>
      <c r="U675">
        <v>3339</v>
      </c>
      <c r="V675">
        <v>3</v>
      </c>
      <c r="W675" t="s">
        <v>42</v>
      </c>
      <c r="X675" t="s">
        <v>35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2</v>
      </c>
      <c r="AI675">
        <v>0</v>
      </c>
      <c r="AJ675">
        <v>2</v>
      </c>
    </row>
    <row r="676" spans="1:36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tr">
        <v>no</v>
      </c>
      <c r="S676" t="s">
        <v>52</v>
      </c>
      <c r="T676">
        <v>10552</v>
      </c>
      <c r="U676">
        <v>9255</v>
      </c>
      <c r="V676">
        <v>2</v>
      </c>
      <c r="W676" t="s">
        <v>42</v>
      </c>
      <c r="X676" t="s">
        <v>35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0</v>
      </c>
      <c r="AI676">
        <v>0</v>
      </c>
      <c r="AJ676">
        <v>4</v>
      </c>
    </row>
    <row r="677" spans="1:36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tr">
        <v>yes</v>
      </c>
      <c r="S677" t="s">
        <v>48</v>
      </c>
      <c r="T677">
        <v>2329</v>
      </c>
      <c r="U677">
        <v>11737</v>
      </c>
      <c r="V677">
        <v>3</v>
      </c>
      <c r="W677" t="s">
        <v>42</v>
      </c>
      <c r="X677" t="s">
        <v>43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7</v>
      </c>
      <c r="AI677">
        <v>5</v>
      </c>
      <c r="AJ677">
        <v>2</v>
      </c>
    </row>
    <row r="678" spans="1:36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tr">
        <v>yes</v>
      </c>
      <c r="S678" t="s">
        <v>48</v>
      </c>
      <c r="T678">
        <v>4014</v>
      </c>
      <c r="U678">
        <v>19170</v>
      </c>
      <c r="V678">
        <v>1</v>
      </c>
      <c r="W678" t="s">
        <v>42</v>
      </c>
      <c r="X678" t="s">
        <v>35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6</v>
      </c>
      <c r="AI678">
        <v>0</v>
      </c>
      <c r="AJ678">
        <v>7</v>
      </c>
    </row>
    <row r="679" spans="1:36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tr">
        <v>no</v>
      </c>
      <c r="S679" t="s">
        <v>48</v>
      </c>
      <c r="T679">
        <v>7403</v>
      </c>
      <c r="U679">
        <v>22477</v>
      </c>
      <c r="V679">
        <v>4</v>
      </c>
      <c r="W679" t="s">
        <v>42</v>
      </c>
      <c r="X679" t="s">
        <v>43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9</v>
      </c>
      <c r="AI679">
        <v>1</v>
      </c>
      <c r="AJ679">
        <v>7</v>
      </c>
    </row>
    <row r="680" spans="1:36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tr">
        <v>yes</v>
      </c>
      <c r="S680" t="s">
        <v>48</v>
      </c>
      <c r="T680">
        <v>2259</v>
      </c>
      <c r="U680">
        <v>5543</v>
      </c>
      <c r="V680">
        <v>4</v>
      </c>
      <c r="W680" t="s">
        <v>42</v>
      </c>
      <c r="X680" t="s">
        <v>43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0</v>
      </c>
      <c r="AI680">
        <v>0</v>
      </c>
      <c r="AJ680">
        <v>0</v>
      </c>
    </row>
    <row r="681" spans="1:36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tr">
        <v>yes</v>
      </c>
      <c r="S681" t="s">
        <v>48</v>
      </c>
      <c r="T681">
        <v>6932</v>
      </c>
      <c r="U681">
        <v>24406</v>
      </c>
      <c r="V681">
        <v>1</v>
      </c>
      <c r="W681" t="s">
        <v>42</v>
      </c>
      <c r="X681" t="s">
        <v>43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8</v>
      </c>
      <c r="AI681">
        <v>0</v>
      </c>
      <c r="AJ681">
        <v>0</v>
      </c>
    </row>
    <row r="682" spans="1:36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tr">
        <v>yes</v>
      </c>
      <c r="S682" t="s">
        <v>41</v>
      </c>
      <c r="T682">
        <v>4678</v>
      </c>
      <c r="U682">
        <v>23293</v>
      </c>
      <c r="V682">
        <v>2</v>
      </c>
      <c r="W682" t="s">
        <v>42</v>
      </c>
      <c r="X682" t="s">
        <v>43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0</v>
      </c>
      <c r="AJ682">
        <v>1</v>
      </c>
    </row>
    <row r="683" spans="1:36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tr">
        <v>no</v>
      </c>
      <c r="S683" t="s">
        <v>48</v>
      </c>
      <c r="T683">
        <v>13582</v>
      </c>
      <c r="U683">
        <v>16292</v>
      </c>
      <c r="V683">
        <v>1</v>
      </c>
      <c r="W683" t="s">
        <v>42</v>
      </c>
      <c r="X683" t="s">
        <v>43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12</v>
      </c>
      <c r="AI683">
        <v>5</v>
      </c>
      <c r="AJ683">
        <v>11</v>
      </c>
    </row>
    <row r="684" spans="1:36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tr">
        <v>no</v>
      </c>
      <c r="S684" t="s">
        <v>48</v>
      </c>
      <c r="T684">
        <v>2332</v>
      </c>
      <c r="U684">
        <v>3974</v>
      </c>
      <c r="V684">
        <v>6</v>
      </c>
      <c r="W684" t="s">
        <v>42</v>
      </c>
      <c r="X684" t="s">
        <v>43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0</v>
      </c>
      <c r="AI684">
        <v>0</v>
      </c>
      <c r="AJ684">
        <v>2</v>
      </c>
    </row>
    <row r="685" spans="1:36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tr">
        <v>no</v>
      </c>
      <c r="S685" t="s">
        <v>48</v>
      </c>
      <c r="T685">
        <v>2413</v>
      </c>
      <c r="U685">
        <v>18798</v>
      </c>
      <c r="V685">
        <v>1</v>
      </c>
      <c r="W685" t="s">
        <v>42</v>
      </c>
      <c r="X685" t="s">
        <v>35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</row>
    <row r="686" spans="1:36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tr">
        <v>no</v>
      </c>
      <c r="S686" t="s">
        <v>52</v>
      </c>
      <c r="T686">
        <v>9705</v>
      </c>
      <c r="U686">
        <v>20652</v>
      </c>
      <c r="V686">
        <v>2</v>
      </c>
      <c r="W686" t="s">
        <v>42</v>
      </c>
      <c r="X686" t="s">
        <v>43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0</v>
      </c>
      <c r="AI686">
        <v>0</v>
      </c>
      <c r="AJ686">
        <v>0</v>
      </c>
    </row>
    <row r="687" spans="1:36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tr">
        <v>no</v>
      </c>
      <c r="S687" t="s">
        <v>41</v>
      </c>
      <c r="T687">
        <v>4294</v>
      </c>
      <c r="U687">
        <v>11148</v>
      </c>
      <c r="V687">
        <v>1</v>
      </c>
      <c r="W687" t="s">
        <v>42</v>
      </c>
      <c r="X687" t="s">
        <v>43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7</v>
      </c>
      <c r="AI687">
        <v>0</v>
      </c>
      <c r="AJ687">
        <v>7</v>
      </c>
    </row>
    <row r="688" spans="1:36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tr">
        <v>no</v>
      </c>
      <c r="S688" t="s">
        <v>41</v>
      </c>
      <c r="T688">
        <v>4721</v>
      </c>
      <c r="U688">
        <v>3119</v>
      </c>
      <c r="V688">
        <v>2</v>
      </c>
      <c r="W688" t="s">
        <v>42</v>
      </c>
      <c r="X688" t="s">
        <v>35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13</v>
      </c>
      <c r="AI688">
        <v>2</v>
      </c>
      <c r="AJ688">
        <v>17</v>
      </c>
    </row>
    <row r="689" spans="1:36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tr">
        <v>yes</v>
      </c>
      <c r="S689" t="s">
        <v>41</v>
      </c>
      <c r="T689">
        <v>2519</v>
      </c>
      <c r="U689">
        <v>12287</v>
      </c>
      <c r="V689">
        <v>4</v>
      </c>
      <c r="W689" t="s">
        <v>42</v>
      </c>
      <c r="X689" t="s">
        <v>43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8</v>
      </c>
      <c r="AI689">
        <v>3</v>
      </c>
      <c r="AJ689">
        <v>9</v>
      </c>
    </row>
    <row r="690" spans="1:36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tr">
        <v>no</v>
      </c>
      <c r="S690" t="s">
        <v>41</v>
      </c>
      <c r="T690">
        <v>2121</v>
      </c>
      <c r="U690">
        <v>9947</v>
      </c>
      <c r="V690">
        <v>1</v>
      </c>
      <c r="W690" t="s">
        <v>42</v>
      </c>
      <c r="X690" t="s">
        <v>35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</row>
    <row r="691" spans="1:36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tr">
        <v>no</v>
      </c>
      <c r="S691" t="s">
        <v>41</v>
      </c>
      <c r="T691">
        <v>2973</v>
      </c>
      <c r="U691">
        <v>13008</v>
      </c>
      <c r="V691">
        <v>1</v>
      </c>
      <c r="W691" t="s">
        <v>42</v>
      </c>
      <c r="X691" t="s">
        <v>43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</row>
    <row r="692" spans="1:36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tr">
        <v>yes</v>
      </c>
      <c r="S692" t="s">
        <v>48</v>
      </c>
      <c r="T692">
        <v>5855</v>
      </c>
      <c r="U692">
        <v>17369</v>
      </c>
      <c r="V692">
        <v>0</v>
      </c>
      <c r="W692" t="s">
        <v>42</v>
      </c>
      <c r="X692" t="s">
        <v>35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7</v>
      </c>
      <c r="AI692">
        <v>8</v>
      </c>
      <c r="AJ692">
        <v>5</v>
      </c>
    </row>
    <row r="693" spans="1:36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tr">
        <v>no</v>
      </c>
      <c r="S693" t="s">
        <v>52</v>
      </c>
      <c r="T693">
        <v>3617</v>
      </c>
      <c r="U693">
        <v>25063</v>
      </c>
      <c r="V693">
        <v>8</v>
      </c>
      <c r="W693" t="s">
        <v>42</v>
      </c>
      <c r="X693" t="s">
        <v>35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1</v>
      </c>
      <c r="AI693">
        <v>0</v>
      </c>
      <c r="AJ693">
        <v>0</v>
      </c>
    </row>
    <row r="694" spans="1:36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tr">
        <v>no</v>
      </c>
      <c r="S694" t="s">
        <v>48</v>
      </c>
      <c r="T694">
        <v>6725</v>
      </c>
      <c r="U694">
        <v>13554</v>
      </c>
      <c r="V694">
        <v>1</v>
      </c>
      <c r="W694" t="s">
        <v>42</v>
      </c>
      <c r="X694" t="s">
        <v>43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7</v>
      </c>
      <c r="AI694">
        <v>6</v>
      </c>
      <c r="AJ694">
        <v>3</v>
      </c>
    </row>
    <row r="695" spans="1:36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tr">
        <v>yes</v>
      </c>
      <c r="S695" t="s">
        <v>48</v>
      </c>
      <c r="T695">
        <v>10325</v>
      </c>
      <c r="U695">
        <v>5518</v>
      </c>
      <c r="V695">
        <v>1</v>
      </c>
      <c r="W695" t="s">
        <v>42</v>
      </c>
      <c r="X695" t="s">
        <v>35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7</v>
      </c>
      <c r="AI695">
        <v>3</v>
      </c>
      <c r="AJ695">
        <v>7</v>
      </c>
    </row>
    <row r="696" spans="1:36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tr">
        <v>yes</v>
      </c>
      <c r="S696" t="s">
        <v>41</v>
      </c>
      <c r="T696">
        <v>6949</v>
      </c>
      <c r="U696">
        <v>12291</v>
      </c>
      <c r="V696">
        <v>0</v>
      </c>
      <c r="W696" t="s">
        <v>42</v>
      </c>
      <c r="X696" t="s">
        <v>43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0</v>
      </c>
      <c r="AI696">
        <v>1</v>
      </c>
      <c r="AJ696">
        <v>4</v>
      </c>
    </row>
    <row r="697" spans="1:36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tr">
        <v>yes</v>
      </c>
      <c r="S697" t="s">
        <v>48</v>
      </c>
      <c r="T697">
        <v>10609</v>
      </c>
      <c r="U697">
        <v>14922</v>
      </c>
      <c r="V697">
        <v>5</v>
      </c>
      <c r="W697" t="s">
        <v>42</v>
      </c>
      <c r="X697" t="s">
        <v>43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1</v>
      </c>
      <c r="AI697">
        <v>11</v>
      </c>
      <c r="AJ697">
        <v>7</v>
      </c>
    </row>
    <row r="698" spans="1:36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tr">
        <v>no</v>
      </c>
      <c r="S698" t="s">
        <v>48</v>
      </c>
      <c r="T698">
        <v>4447</v>
      </c>
      <c r="U698">
        <v>23163</v>
      </c>
      <c r="V698">
        <v>1</v>
      </c>
      <c r="W698" t="s">
        <v>42</v>
      </c>
      <c r="X698" t="s">
        <v>43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7</v>
      </c>
      <c r="AI698">
        <v>0</v>
      </c>
      <c r="AJ698">
        <v>8</v>
      </c>
    </row>
    <row r="699" spans="1:36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tr">
        <v>yes</v>
      </c>
      <c r="S699" t="s">
        <v>48</v>
      </c>
      <c r="T699">
        <v>2157</v>
      </c>
      <c r="U699">
        <v>18203</v>
      </c>
      <c r="V699">
        <v>1</v>
      </c>
      <c r="W699" t="s">
        <v>42</v>
      </c>
      <c r="X699" t="s">
        <v>43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1</v>
      </c>
      <c r="AI699">
        <v>0</v>
      </c>
      <c r="AJ699">
        <v>2</v>
      </c>
    </row>
    <row r="700" spans="1:36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tr">
        <v>yes</v>
      </c>
      <c r="S700" t="s">
        <v>48</v>
      </c>
      <c r="T700">
        <v>4601</v>
      </c>
      <c r="U700">
        <v>6179</v>
      </c>
      <c r="V700">
        <v>1</v>
      </c>
      <c r="W700" t="s">
        <v>42</v>
      </c>
      <c r="X700" t="s">
        <v>43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2</v>
      </c>
      <c r="AI700">
        <v>1</v>
      </c>
      <c r="AJ700">
        <v>0</v>
      </c>
    </row>
    <row r="701" spans="1:36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tr">
        <v>yes</v>
      </c>
      <c r="S701" t="s">
        <v>48</v>
      </c>
      <c r="T701">
        <v>17099</v>
      </c>
      <c r="U701">
        <v>13829</v>
      </c>
      <c r="V701">
        <v>2</v>
      </c>
      <c r="W701" t="s">
        <v>42</v>
      </c>
      <c r="X701" t="s">
        <v>43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8</v>
      </c>
      <c r="AI701">
        <v>7</v>
      </c>
      <c r="AJ701">
        <v>8</v>
      </c>
    </row>
    <row r="702" spans="1:36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tr">
        <v>yes</v>
      </c>
      <c r="S702" t="s">
        <v>41</v>
      </c>
      <c r="T702">
        <v>2479</v>
      </c>
      <c r="U702">
        <v>26227</v>
      </c>
      <c r="V702">
        <v>4</v>
      </c>
      <c r="W702" t="s">
        <v>42</v>
      </c>
      <c r="X702" t="s">
        <v>43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0</v>
      </c>
      <c r="AI702">
        <v>0</v>
      </c>
      <c r="AJ702">
        <v>0</v>
      </c>
    </row>
    <row r="703" spans="1:36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tr">
        <v>yes</v>
      </c>
      <c r="S703" t="s">
        <v>52</v>
      </c>
      <c r="T703">
        <v>14852</v>
      </c>
      <c r="U703">
        <v>13938</v>
      </c>
      <c r="V703">
        <v>6</v>
      </c>
      <c r="W703" t="s">
        <v>42</v>
      </c>
      <c r="X703" t="s">
        <v>43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13</v>
      </c>
      <c r="AI703">
        <v>15</v>
      </c>
      <c r="AJ703">
        <v>2</v>
      </c>
    </row>
    <row r="704" spans="1:36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tr">
        <v>yes</v>
      </c>
      <c r="S704" t="s">
        <v>52</v>
      </c>
      <c r="T704">
        <v>7264</v>
      </c>
      <c r="U704">
        <v>9977</v>
      </c>
      <c r="V704">
        <v>5</v>
      </c>
      <c r="W704" t="s">
        <v>42</v>
      </c>
      <c r="X704" t="s">
        <v>43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4</v>
      </c>
      <c r="AI704">
        <v>7</v>
      </c>
      <c r="AJ704">
        <v>7</v>
      </c>
    </row>
    <row r="705" spans="1:36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tr">
        <v>yes</v>
      </c>
      <c r="S705" t="s">
        <v>41</v>
      </c>
      <c r="T705">
        <v>5666</v>
      </c>
      <c r="U705">
        <v>19899</v>
      </c>
      <c r="V705">
        <v>1</v>
      </c>
      <c r="W705" t="s">
        <v>42</v>
      </c>
      <c r="X705" t="s">
        <v>35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3</v>
      </c>
      <c r="AI705">
        <v>1</v>
      </c>
      <c r="AJ705">
        <v>3</v>
      </c>
    </row>
    <row r="706" spans="1:36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tr">
        <v>yes</v>
      </c>
      <c r="S706" t="s">
        <v>52</v>
      </c>
      <c r="T706">
        <v>7823</v>
      </c>
      <c r="U706">
        <v>6812</v>
      </c>
      <c r="V706">
        <v>6</v>
      </c>
      <c r="W706" t="s">
        <v>42</v>
      </c>
      <c r="X706" t="s">
        <v>43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9</v>
      </c>
      <c r="AI706">
        <v>0</v>
      </c>
      <c r="AJ706">
        <v>8</v>
      </c>
    </row>
    <row r="707" spans="1:36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tr">
        <v>yes</v>
      </c>
      <c r="S707" t="s">
        <v>41</v>
      </c>
      <c r="T707">
        <v>7880</v>
      </c>
      <c r="U707">
        <v>2560</v>
      </c>
      <c r="V707">
        <v>0</v>
      </c>
      <c r="W707" t="s">
        <v>42</v>
      </c>
      <c r="X707" t="s">
        <v>43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7</v>
      </c>
      <c r="AI707">
        <v>0</v>
      </c>
      <c r="AJ707">
        <v>7</v>
      </c>
    </row>
    <row r="708" spans="1:36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tr">
        <v>no</v>
      </c>
      <c r="S708" t="s">
        <v>41</v>
      </c>
      <c r="T708">
        <v>13194</v>
      </c>
      <c r="U708">
        <v>17071</v>
      </c>
      <c r="V708">
        <v>4</v>
      </c>
      <c r="W708" t="s">
        <v>42</v>
      </c>
      <c r="X708" t="s">
        <v>35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0</v>
      </c>
      <c r="AI708">
        <v>0</v>
      </c>
      <c r="AJ708">
        <v>0</v>
      </c>
    </row>
    <row r="709" spans="1:36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tr">
        <v>yes</v>
      </c>
      <c r="S709" t="s">
        <v>52</v>
      </c>
      <c r="T709">
        <v>5067</v>
      </c>
      <c r="U709">
        <v>6759</v>
      </c>
      <c r="V709">
        <v>1</v>
      </c>
      <c r="W709" t="s">
        <v>42</v>
      </c>
      <c r="X709" t="s">
        <v>35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10</v>
      </c>
      <c r="AI709">
        <v>2</v>
      </c>
      <c r="AJ709">
        <v>7</v>
      </c>
    </row>
    <row r="710" spans="1:36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tr">
        <v>yes</v>
      </c>
      <c r="S710" t="s">
        <v>52</v>
      </c>
      <c r="T710">
        <v>5079</v>
      </c>
      <c r="U710">
        <v>25952</v>
      </c>
      <c r="V710">
        <v>4</v>
      </c>
      <c r="W710" t="s">
        <v>42</v>
      </c>
      <c r="X710" t="s">
        <v>43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7</v>
      </c>
      <c r="AI710">
        <v>0</v>
      </c>
      <c r="AJ710">
        <v>7</v>
      </c>
    </row>
    <row r="711" spans="1:36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tr">
        <v>no</v>
      </c>
      <c r="S711" t="s">
        <v>41</v>
      </c>
      <c r="T711">
        <v>2321</v>
      </c>
      <c r="U711">
        <v>10322</v>
      </c>
      <c r="V711">
        <v>0</v>
      </c>
      <c r="W711" t="s">
        <v>42</v>
      </c>
      <c r="X711" t="s">
        <v>35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2</v>
      </c>
      <c r="AI711">
        <v>1</v>
      </c>
      <c r="AJ711">
        <v>2</v>
      </c>
    </row>
    <row r="712" spans="1:36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tr">
        <v>yes</v>
      </c>
      <c r="S712" t="s">
        <v>41</v>
      </c>
      <c r="T712">
        <v>17444</v>
      </c>
      <c r="U712">
        <v>20489</v>
      </c>
      <c r="V712">
        <v>1</v>
      </c>
      <c r="W712" t="s">
        <v>42</v>
      </c>
      <c r="X712" t="s">
        <v>43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8</v>
      </c>
      <c r="AI712">
        <v>6</v>
      </c>
      <c r="AJ712">
        <v>0</v>
      </c>
    </row>
    <row r="713" spans="1:36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tr">
        <v>no</v>
      </c>
      <c r="S713" t="s">
        <v>41</v>
      </c>
      <c r="T713">
        <v>2404</v>
      </c>
      <c r="U713">
        <v>11479</v>
      </c>
      <c r="V713">
        <v>6</v>
      </c>
      <c r="W713" t="s">
        <v>42</v>
      </c>
      <c r="X713" t="s">
        <v>35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0</v>
      </c>
      <c r="AI713">
        <v>0</v>
      </c>
      <c r="AJ713">
        <v>0</v>
      </c>
    </row>
    <row r="714" spans="1:36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tr">
        <v>yes</v>
      </c>
      <c r="S714" t="s">
        <v>41</v>
      </c>
      <c r="T714">
        <v>3452</v>
      </c>
      <c r="U714">
        <v>17241</v>
      </c>
      <c r="V714">
        <v>3</v>
      </c>
      <c r="W714" t="s">
        <v>42</v>
      </c>
      <c r="X714" t="s">
        <v>43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0</v>
      </c>
      <c r="AJ714">
        <v>2</v>
      </c>
    </row>
    <row r="715" spans="1:36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tr">
        <v>yes</v>
      </c>
      <c r="S715" t="s">
        <v>52</v>
      </c>
      <c r="T715">
        <v>2270</v>
      </c>
      <c r="U715">
        <v>11005</v>
      </c>
      <c r="V715">
        <v>3</v>
      </c>
      <c r="W715" t="s">
        <v>42</v>
      </c>
      <c r="X715" t="s">
        <v>43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0</v>
      </c>
      <c r="AJ715">
        <v>2</v>
      </c>
    </row>
    <row r="716" spans="1:36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tr">
        <v>yes</v>
      </c>
      <c r="S716" t="s">
        <v>52</v>
      </c>
      <c r="T716">
        <v>17399</v>
      </c>
      <c r="U716">
        <v>6615</v>
      </c>
      <c r="V716">
        <v>9</v>
      </c>
      <c r="W716" t="s">
        <v>42</v>
      </c>
      <c r="X716" t="s">
        <v>43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4</v>
      </c>
      <c r="AI716">
        <v>1</v>
      </c>
      <c r="AJ716">
        <v>3</v>
      </c>
    </row>
    <row r="717" spans="1:36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tr">
        <v>no</v>
      </c>
      <c r="S717" t="s">
        <v>48</v>
      </c>
      <c r="T717">
        <v>5488</v>
      </c>
      <c r="U717">
        <v>20161</v>
      </c>
      <c r="V717">
        <v>1</v>
      </c>
      <c r="W717" t="s">
        <v>42</v>
      </c>
      <c r="X717" t="s">
        <v>35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5</v>
      </c>
      <c r="AI717">
        <v>1</v>
      </c>
      <c r="AJ717">
        <v>2</v>
      </c>
    </row>
    <row r="718" spans="1:36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tr">
        <v>yes</v>
      </c>
      <c r="S718" t="s">
        <v>52</v>
      </c>
      <c r="T718">
        <v>19419</v>
      </c>
      <c r="U718">
        <v>3735</v>
      </c>
      <c r="V718">
        <v>2</v>
      </c>
      <c r="W718" t="s">
        <v>42</v>
      </c>
      <c r="X718" t="s">
        <v>43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16</v>
      </c>
      <c r="AI718">
        <v>0</v>
      </c>
      <c r="AJ718">
        <v>11</v>
      </c>
    </row>
    <row r="719" spans="1:36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tr">
        <v>no</v>
      </c>
      <c r="S719" t="s">
        <v>48</v>
      </c>
      <c r="T719">
        <v>2811</v>
      </c>
      <c r="U719">
        <v>12086</v>
      </c>
      <c r="V719">
        <v>9</v>
      </c>
      <c r="W719" t="s">
        <v>42</v>
      </c>
      <c r="X719" t="s">
        <v>43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</row>
    <row r="720" spans="1:36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tr">
        <v>no</v>
      </c>
      <c r="S720" t="s">
        <v>48</v>
      </c>
      <c r="T720">
        <v>3633</v>
      </c>
      <c r="U720">
        <v>14039</v>
      </c>
      <c r="V720">
        <v>1</v>
      </c>
      <c r="W720" t="s">
        <v>42</v>
      </c>
      <c r="X720" t="s">
        <v>35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8</v>
      </c>
      <c r="AI720">
        <v>0</v>
      </c>
      <c r="AJ720">
        <v>8</v>
      </c>
    </row>
    <row r="721" spans="1:36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tr">
        <v>yes</v>
      </c>
      <c r="S721" t="s">
        <v>41</v>
      </c>
      <c r="T721">
        <v>4163</v>
      </c>
      <c r="U721">
        <v>8571</v>
      </c>
      <c r="V721">
        <v>1</v>
      </c>
      <c r="W721" t="s">
        <v>42</v>
      </c>
      <c r="X721" t="s">
        <v>35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7</v>
      </c>
    </row>
    <row r="722" spans="1:36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tr">
        <v>yes</v>
      </c>
      <c r="S722" t="s">
        <v>48</v>
      </c>
      <c r="T722">
        <v>2132</v>
      </c>
      <c r="U722">
        <v>11539</v>
      </c>
      <c r="V722">
        <v>4</v>
      </c>
      <c r="W722" t="s">
        <v>42</v>
      </c>
      <c r="X722" t="s">
        <v>35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0</v>
      </c>
      <c r="AJ722">
        <v>1</v>
      </c>
    </row>
    <row r="723" spans="1:36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tr">
        <v>yes</v>
      </c>
      <c r="S723" t="s">
        <v>48</v>
      </c>
      <c r="T723">
        <v>13973</v>
      </c>
      <c r="U723">
        <v>4161</v>
      </c>
      <c r="V723">
        <v>3</v>
      </c>
      <c r="W723" t="s">
        <v>42</v>
      </c>
      <c r="X723" t="s">
        <v>35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11</v>
      </c>
      <c r="AI723">
        <v>1</v>
      </c>
      <c r="AJ723">
        <v>5</v>
      </c>
    </row>
    <row r="724" spans="1:36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tr">
        <v>yes</v>
      </c>
      <c r="S724" t="s">
        <v>48</v>
      </c>
      <c r="T724">
        <v>2684</v>
      </c>
      <c r="U724">
        <v>12127</v>
      </c>
      <c r="V724">
        <v>0</v>
      </c>
      <c r="W724" t="s">
        <v>42</v>
      </c>
      <c r="X724" t="s">
        <v>43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0</v>
      </c>
      <c r="AJ724">
        <v>2</v>
      </c>
    </row>
    <row r="725" spans="1:36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tr">
        <v>yes</v>
      </c>
      <c r="S725" t="s">
        <v>52</v>
      </c>
      <c r="T725">
        <v>10845</v>
      </c>
      <c r="U725">
        <v>24208</v>
      </c>
      <c r="V725">
        <v>6</v>
      </c>
      <c r="W725" t="s">
        <v>42</v>
      </c>
      <c r="X725" t="s">
        <v>43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7</v>
      </c>
      <c r="AI725">
        <v>0</v>
      </c>
      <c r="AJ725">
        <v>7</v>
      </c>
    </row>
    <row r="726" spans="1:36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tr">
        <v>yes</v>
      </c>
      <c r="S726" t="s">
        <v>52</v>
      </c>
      <c r="T726">
        <v>4377</v>
      </c>
      <c r="U726">
        <v>24117</v>
      </c>
      <c r="V726">
        <v>1</v>
      </c>
      <c r="W726" t="s">
        <v>42</v>
      </c>
      <c r="X726" t="s">
        <v>43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2</v>
      </c>
      <c r="AI726">
        <v>3</v>
      </c>
      <c r="AJ726">
        <v>2</v>
      </c>
    </row>
    <row r="727" spans="1:36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tr">
        <v>no</v>
      </c>
      <c r="S727" t="s">
        <v>52</v>
      </c>
      <c r="T727">
        <v>3743</v>
      </c>
      <c r="U727">
        <v>10074</v>
      </c>
      <c r="V727">
        <v>1</v>
      </c>
      <c r="W727" t="s">
        <v>42</v>
      </c>
      <c r="X727" t="s">
        <v>35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2</v>
      </c>
      <c r="AI727">
        <v>0</v>
      </c>
      <c r="AJ727">
        <v>2</v>
      </c>
    </row>
    <row r="728" spans="1:36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tr">
        <v>no</v>
      </c>
      <c r="S728" t="s">
        <v>48</v>
      </c>
      <c r="T728">
        <v>4148</v>
      </c>
      <c r="U728">
        <v>11275</v>
      </c>
      <c r="V728">
        <v>1</v>
      </c>
      <c r="W728" t="s">
        <v>42</v>
      </c>
      <c r="X728" t="s">
        <v>43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3</v>
      </c>
      <c r="AI728">
        <v>0</v>
      </c>
      <c r="AJ728">
        <v>3</v>
      </c>
    </row>
    <row r="729" spans="1:36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tr">
        <v>yes</v>
      </c>
      <c r="S729" t="s">
        <v>41</v>
      </c>
      <c r="T729">
        <v>1051</v>
      </c>
      <c r="U729">
        <v>13493</v>
      </c>
      <c r="V729">
        <v>1</v>
      </c>
      <c r="W729" t="s">
        <v>42</v>
      </c>
      <c r="X729" t="s">
        <v>43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</row>
    <row r="730" spans="1:36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tr">
        <v>yes</v>
      </c>
      <c r="S730" t="s">
        <v>48</v>
      </c>
      <c r="T730">
        <v>10739</v>
      </c>
      <c r="U730">
        <v>13943</v>
      </c>
      <c r="V730">
        <v>8</v>
      </c>
      <c r="W730" t="s">
        <v>42</v>
      </c>
      <c r="X730" t="s">
        <v>43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7</v>
      </c>
      <c r="AI730">
        <v>0</v>
      </c>
      <c r="AJ730">
        <v>8</v>
      </c>
    </row>
    <row r="731" spans="1:36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tr">
        <v>yes</v>
      </c>
      <c r="S731" t="s">
        <v>52</v>
      </c>
      <c r="T731">
        <v>10388</v>
      </c>
      <c r="U731">
        <v>6975</v>
      </c>
      <c r="V731">
        <v>1</v>
      </c>
      <c r="W731" t="s">
        <v>42</v>
      </c>
      <c r="X731" t="s">
        <v>35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10</v>
      </c>
      <c r="AI731">
        <v>10</v>
      </c>
      <c r="AJ731">
        <v>1</v>
      </c>
    </row>
    <row r="732" spans="1:36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tr">
        <v>no</v>
      </c>
      <c r="S732" t="s">
        <v>48</v>
      </c>
      <c r="T732">
        <v>11416</v>
      </c>
      <c r="U732">
        <v>17802</v>
      </c>
      <c r="V732">
        <v>0</v>
      </c>
      <c r="W732" t="s">
        <v>42</v>
      </c>
      <c r="X732" t="s">
        <v>35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7</v>
      </c>
      <c r="AI732">
        <v>1</v>
      </c>
      <c r="AJ732">
        <v>7</v>
      </c>
    </row>
    <row r="733" spans="1:36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tr">
        <v>no</v>
      </c>
      <c r="S733" t="s">
        <v>41</v>
      </c>
      <c r="T733">
        <v>2600</v>
      </c>
      <c r="U733">
        <v>18275</v>
      </c>
      <c r="V733">
        <v>1</v>
      </c>
      <c r="W733" t="s">
        <v>42</v>
      </c>
      <c r="X733" t="s">
        <v>35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</row>
    <row r="734" spans="1:36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tr">
        <v>no</v>
      </c>
      <c r="S734" t="s">
        <v>41</v>
      </c>
      <c r="T734">
        <v>2422</v>
      </c>
      <c r="U734">
        <v>25725</v>
      </c>
      <c r="V734">
        <v>0</v>
      </c>
      <c r="W734" t="s">
        <v>42</v>
      </c>
      <c r="X734" t="s">
        <v>43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2</v>
      </c>
      <c r="AI734">
        <v>1</v>
      </c>
      <c r="AJ734">
        <v>2</v>
      </c>
    </row>
    <row r="735" spans="1:36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tr">
        <v>yes</v>
      </c>
      <c r="S735" t="s">
        <v>48</v>
      </c>
      <c r="T735">
        <v>5472</v>
      </c>
      <c r="U735">
        <v>3334</v>
      </c>
      <c r="V735">
        <v>1</v>
      </c>
      <c r="W735" t="s">
        <v>42</v>
      </c>
      <c r="X735" t="s">
        <v>43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7</v>
      </c>
      <c r="AI735">
        <v>1</v>
      </c>
      <c r="AJ735">
        <v>3</v>
      </c>
    </row>
    <row r="736" spans="1:36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tr">
        <v>no</v>
      </c>
      <c r="S736" t="s">
        <v>48</v>
      </c>
      <c r="T736">
        <v>2451</v>
      </c>
      <c r="U736">
        <v>6881</v>
      </c>
      <c r="V736">
        <v>1</v>
      </c>
      <c r="W736" t="s">
        <v>42</v>
      </c>
      <c r="X736" t="s">
        <v>43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3</v>
      </c>
      <c r="AI736">
        <v>1</v>
      </c>
      <c r="AJ736">
        <v>1</v>
      </c>
    </row>
    <row r="737" spans="1:36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tr">
        <v>yes</v>
      </c>
      <c r="S737" t="s">
        <v>41</v>
      </c>
      <c r="T737">
        <v>4240</v>
      </c>
      <c r="U737">
        <v>13119</v>
      </c>
      <c r="V737">
        <v>2</v>
      </c>
      <c r="W737" t="s">
        <v>42</v>
      </c>
      <c r="X737" t="s">
        <v>43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2</v>
      </c>
      <c r="AI737">
        <v>2</v>
      </c>
      <c r="AJ737">
        <v>2</v>
      </c>
    </row>
    <row r="738" spans="1:36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tr">
        <v>yes</v>
      </c>
      <c r="S738" t="s">
        <v>41</v>
      </c>
      <c r="T738">
        <v>10999</v>
      </c>
      <c r="U738">
        <v>22245</v>
      </c>
      <c r="V738">
        <v>7</v>
      </c>
      <c r="W738" t="s">
        <v>42</v>
      </c>
      <c r="X738" t="s">
        <v>43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11</v>
      </c>
      <c r="AI738">
        <v>4</v>
      </c>
      <c r="AJ738">
        <v>8</v>
      </c>
    </row>
    <row r="739" spans="1:36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tr">
        <v>yes</v>
      </c>
      <c r="S739" t="s">
        <v>41</v>
      </c>
      <c r="T739">
        <v>5003</v>
      </c>
      <c r="U739">
        <v>23371</v>
      </c>
      <c r="V739">
        <v>6</v>
      </c>
      <c r="W739" t="s">
        <v>42</v>
      </c>
      <c r="X739" t="s">
        <v>43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2</v>
      </c>
      <c r="AI739">
        <v>2</v>
      </c>
      <c r="AJ739">
        <v>1</v>
      </c>
    </row>
    <row r="740" spans="1:36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tr">
        <v>yes</v>
      </c>
      <c r="S740" t="s">
        <v>48</v>
      </c>
      <c r="T740">
        <v>12742</v>
      </c>
      <c r="U740">
        <v>7060</v>
      </c>
      <c r="V740">
        <v>1</v>
      </c>
      <c r="W740" t="s">
        <v>42</v>
      </c>
      <c r="X740" t="s">
        <v>43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6</v>
      </c>
      <c r="AI740">
        <v>11</v>
      </c>
      <c r="AJ740">
        <v>8</v>
      </c>
    </row>
    <row r="741" spans="1:36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tr">
        <v>yes</v>
      </c>
      <c r="S741" t="s">
        <v>48</v>
      </c>
      <c r="T741">
        <v>4227</v>
      </c>
      <c r="U741">
        <v>4658</v>
      </c>
      <c r="V741">
        <v>0</v>
      </c>
      <c r="W741" t="s">
        <v>42</v>
      </c>
      <c r="X741" t="s">
        <v>43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2</v>
      </c>
      <c r="AI741">
        <v>2</v>
      </c>
      <c r="AJ741">
        <v>2</v>
      </c>
    </row>
    <row r="742" spans="1:36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tr">
        <v>yes</v>
      </c>
      <c r="S742" t="s">
        <v>52</v>
      </c>
      <c r="T742">
        <v>3917</v>
      </c>
      <c r="U742">
        <v>9541</v>
      </c>
      <c r="V742">
        <v>1</v>
      </c>
      <c r="W742" t="s">
        <v>42</v>
      </c>
      <c r="X742" t="s">
        <v>43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2</v>
      </c>
      <c r="AI742">
        <v>1</v>
      </c>
      <c r="AJ742">
        <v>2</v>
      </c>
    </row>
    <row r="743" spans="1:36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tr">
        <v>yes</v>
      </c>
      <c r="S743" t="s">
        <v>48</v>
      </c>
      <c r="T743">
        <v>18303</v>
      </c>
      <c r="U743">
        <v>7770</v>
      </c>
      <c r="V743">
        <v>6</v>
      </c>
      <c r="W743" t="s">
        <v>42</v>
      </c>
      <c r="X743" t="s">
        <v>43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0</v>
      </c>
      <c r="AI743">
        <v>0</v>
      </c>
      <c r="AJ743">
        <v>0</v>
      </c>
    </row>
    <row r="744" spans="1:36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tr">
        <v>yes</v>
      </c>
      <c r="S744" t="s">
        <v>48</v>
      </c>
      <c r="T744">
        <v>2380</v>
      </c>
      <c r="U744">
        <v>20165</v>
      </c>
      <c r="V744">
        <v>4</v>
      </c>
      <c r="W744" t="s">
        <v>42</v>
      </c>
      <c r="X744" t="s">
        <v>43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0</v>
      </c>
      <c r="AI744">
        <v>0</v>
      </c>
      <c r="AJ744">
        <v>0</v>
      </c>
    </row>
    <row r="745" spans="1:36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tr">
        <v>yes</v>
      </c>
      <c r="S745" t="s">
        <v>41</v>
      </c>
      <c r="T745">
        <v>13726</v>
      </c>
      <c r="U745">
        <v>21829</v>
      </c>
      <c r="V745">
        <v>3</v>
      </c>
      <c r="W745" t="s">
        <v>42</v>
      </c>
      <c r="X745" t="s">
        <v>35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3</v>
      </c>
      <c r="AI745">
        <v>4</v>
      </c>
      <c r="AJ745">
        <v>3</v>
      </c>
    </row>
    <row r="746" spans="1:36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tr">
        <v>no</v>
      </c>
      <c r="S746" t="s">
        <v>48</v>
      </c>
      <c r="T746">
        <v>4777</v>
      </c>
      <c r="U746">
        <v>14382</v>
      </c>
      <c r="V746">
        <v>5</v>
      </c>
      <c r="W746" t="s">
        <v>42</v>
      </c>
      <c r="X746" t="s">
        <v>43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0</v>
      </c>
      <c r="AI746">
        <v>0</v>
      </c>
      <c r="AJ746">
        <v>0</v>
      </c>
    </row>
    <row r="747" spans="1:36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tr">
        <v>no</v>
      </c>
      <c r="S747" t="s">
        <v>48</v>
      </c>
      <c r="T747">
        <v>6385</v>
      </c>
      <c r="U747">
        <v>12992</v>
      </c>
      <c r="V747">
        <v>3</v>
      </c>
      <c r="W747" t="s">
        <v>42</v>
      </c>
      <c r="X747" t="s">
        <v>35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7</v>
      </c>
      <c r="AI747">
        <v>6</v>
      </c>
      <c r="AJ747">
        <v>7</v>
      </c>
    </row>
    <row r="748" spans="1:36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tr">
        <v>yes</v>
      </c>
      <c r="S748" t="s">
        <v>52</v>
      </c>
      <c r="T748">
        <v>19973</v>
      </c>
      <c r="U748">
        <v>20284</v>
      </c>
      <c r="V748">
        <v>1</v>
      </c>
      <c r="W748" t="s">
        <v>42</v>
      </c>
      <c r="X748" t="s">
        <v>43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16</v>
      </c>
      <c r="AI748">
        <v>5</v>
      </c>
      <c r="AJ748">
        <v>10</v>
      </c>
    </row>
    <row r="749" spans="1:36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tr">
        <v>yes</v>
      </c>
      <c r="S749" t="s">
        <v>41</v>
      </c>
      <c r="T749">
        <v>6861</v>
      </c>
      <c r="U749">
        <v>4981</v>
      </c>
      <c r="V749">
        <v>8</v>
      </c>
      <c r="W749" t="s">
        <v>42</v>
      </c>
      <c r="X749" t="s">
        <v>35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0</v>
      </c>
      <c r="AI749">
        <v>0</v>
      </c>
      <c r="AJ749">
        <v>0</v>
      </c>
    </row>
    <row r="750" spans="1:36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tr">
        <v>no</v>
      </c>
      <c r="S750" t="s">
        <v>41</v>
      </c>
      <c r="T750">
        <v>4969</v>
      </c>
      <c r="U750">
        <v>21813</v>
      </c>
      <c r="V750">
        <v>8</v>
      </c>
      <c r="W750" t="s">
        <v>42</v>
      </c>
      <c r="X750" t="s">
        <v>43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2</v>
      </c>
      <c r="AI750">
        <v>2</v>
      </c>
      <c r="AJ750">
        <v>2</v>
      </c>
    </row>
    <row r="751" spans="1:36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tr">
        <v>yes</v>
      </c>
      <c r="S751" t="s">
        <v>48</v>
      </c>
      <c r="T751">
        <v>19845</v>
      </c>
      <c r="U751">
        <v>25846</v>
      </c>
      <c r="V751">
        <v>1</v>
      </c>
      <c r="W751" t="s">
        <v>42</v>
      </c>
      <c r="X751" t="s">
        <v>43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14</v>
      </c>
      <c r="AI751">
        <v>6</v>
      </c>
      <c r="AJ751">
        <v>9</v>
      </c>
    </row>
    <row r="752" spans="1:36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tr">
        <v>yes</v>
      </c>
      <c r="S752" t="s">
        <v>48</v>
      </c>
      <c r="T752">
        <v>13320</v>
      </c>
      <c r="U752">
        <v>11737</v>
      </c>
      <c r="V752">
        <v>3</v>
      </c>
      <c r="W752" t="s">
        <v>42</v>
      </c>
      <c r="X752" t="s">
        <v>35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</row>
    <row r="753" spans="1:36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tr">
        <v>yes</v>
      </c>
      <c r="S753" t="s">
        <v>48</v>
      </c>
      <c r="T753">
        <v>6347</v>
      </c>
      <c r="U753">
        <v>24920</v>
      </c>
      <c r="V753">
        <v>0</v>
      </c>
      <c r="W753" t="s">
        <v>42</v>
      </c>
      <c r="X753" t="s">
        <v>43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7</v>
      </c>
      <c r="AI753">
        <v>0</v>
      </c>
      <c r="AJ753">
        <v>13</v>
      </c>
    </row>
    <row r="754" spans="1:36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tr">
        <v>no</v>
      </c>
      <c r="S754" t="s">
        <v>41</v>
      </c>
      <c r="T754">
        <v>2743</v>
      </c>
      <c r="U754">
        <v>8269</v>
      </c>
      <c r="V754">
        <v>1</v>
      </c>
      <c r="W754" t="s">
        <v>42</v>
      </c>
      <c r="X754" t="s">
        <v>43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13</v>
      </c>
      <c r="AI754">
        <v>15</v>
      </c>
      <c r="AJ754">
        <v>14</v>
      </c>
    </row>
    <row r="755" spans="1:36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tr">
        <v>no</v>
      </c>
      <c r="S755" t="s">
        <v>41</v>
      </c>
      <c r="T755">
        <v>10880</v>
      </c>
      <c r="U755">
        <v>5083</v>
      </c>
      <c r="V755">
        <v>1</v>
      </c>
      <c r="W755" t="s">
        <v>42</v>
      </c>
      <c r="X755" t="s">
        <v>35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6</v>
      </c>
      <c r="AI755">
        <v>2</v>
      </c>
      <c r="AJ755">
        <v>8</v>
      </c>
    </row>
    <row r="756" spans="1:36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tr">
        <v>yes</v>
      </c>
      <c r="S756" t="s">
        <v>41</v>
      </c>
      <c r="T756">
        <v>2342</v>
      </c>
      <c r="U756">
        <v>21437</v>
      </c>
      <c r="V756">
        <v>0</v>
      </c>
      <c r="W756" t="s">
        <v>42</v>
      </c>
      <c r="X756" t="s">
        <v>43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</row>
    <row r="757" spans="1:36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tr">
        <v>yes</v>
      </c>
      <c r="S757" t="s">
        <v>48</v>
      </c>
      <c r="T757">
        <v>17650</v>
      </c>
      <c r="U757">
        <v>5404</v>
      </c>
      <c r="V757">
        <v>3</v>
      </c>
      <c r="W757" t="s">
        <v>42</v>
      </c>
      <c r="X757" t="s">
        <v>43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3</v>
      </c>
      <c r="AI757">
        <v>1</v>
      </c>
      <c r="AJ757">
        <v>1</v>
      </c>
    </row>
    <row r="758" spans="1:36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tr">
        <v>yes</v>
      </c>
      <c r="S758" t="s">
        <v>41</v>
      </c>
      <c r="T758">
        <v>4025</v>
      </c>
      <c r="U758">
        <v>11135</v>
      </c>
      <c r="V758">
        <v>9</v>
      </c>
      <c r="W758" t="s">
        <v>42</v>
      </c>
      <c r="X758" t="s">
        <v>43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7</v>
      </c>
      <c r="AI758">
        <v>7</v>
      </c>
      <c r="AJ758">
        <v>7</v>
      </c>
    </row>
    <row r="759" spans="1:36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tr">
        <v>yes</v>
      </c>
      <c r="S759" t="s">
        <v>52</v>
      </c>
      <c r="T759">
        <v>9725</v>
      </c>
      <c r="U759">
        <v>12278</v>
      </c>
      <c r="V759">
        <v>0</v>
      </c>
      <c r="W759" t="s">
        <v>42</v>
      </c>
      <c r="X759" t="s">
        <v>43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0</v>
      </c>
      <c r="AJ759">
        <v>9</v>
      </c>
    </row>
    <row r="760" spans="1:36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tr">
        <v>yes</v>
      </c>
      <c r="S760" t="s">
        <v>48</v>
      </c>
      <c r="T760">
        <v>11904</v>
      </c>
      <c r="U760">
        <v>11038</v>
      </c>
      <c r="V760">
        <v>3</v>
      </c>
      <c r="W760" t="s">
        <v>42</v>
      </c>
      <c r="X760" t="s">
        <v>35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4</v>
      </c>
      <c r="AI760">
        <v>0</v>
      </c>
      <c r="AJ760">
        <v>4</v>
      </c>
    </row>
    <row r="761" spans="1:36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tr">
        <v>no</v>
      </c>
      <c r="S761" t="s">
        <v>41</v>
      </c>
      <c r="T761">
        <v>2177</v>
      </c>
      <c r="U761">
        <v>8318</v>
      </c>
      <c r="V761">
        <v>1</v>
      </c>
      <c r="W761" t="s">
        <v>42</v>
      </c>
      <c r="X761" t="s">
        <v>43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3</v>
      </c>
      <c r="AI761">
        <v>0</v>
      </c>
      <c r="AJ761">
        <v>4</v>
      </c>
    </row>
    <row r="762" spans="1:36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tr">
        <v>no</v>
      </c>
      <c r="S762" t="s">
        <v>48</v>
      </c>
      <c r="T762">
        <v>7525</v>
      </c>
      <c r="U762">
        <v>23537</v>
      </c>
      <c r="V762">
        <v>2</v>
      </c>
      <c r="W762" t="s">
        <v>42</v>
      </c>
      <c r="X762" t="s">
        <v>43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7</v>
      </c>
      <c r="AI762">
        <v>6</v>
      </c>
      <c r="AJ762">
        <v>12</v>
      </c>
    </row>
    <row r="763" spans="1:36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tr">
        <v>yes</v>
      </c>
      <c r="S763" t="s">
        <v>52</v>
      </c>
      <c r="T763">
        <v>4834</v>
      </c>
      <c r="U763">
        <v>7858</v>
      </c>
      <c r="V763">
        <v>7</v>
      </c>
      <c r="W763" t="s">
        <v>42</v>
      </c>
      <c r="X763" t="s">
        <v>43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0</v>
      </c>
      <c r="AI763">
        <v>0</v>
      </c>
      <c r="AJ763">
        <v>0</v>
      </c>
    </row>
    <row r="764" spans="1:36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tr">
        <v>no</v>
      </c>
      <c r="S764" t="s">
        <v>48</v>
      </c>
      <c r="T764">
        <v>2042</v>
      </c>
      <c r="U764">
        <v>15346</v>
      </c>
      <c r="V764">
        <v>6</v>
      </c>
      <c r="W764" t="s">
        <v>42</v>
      </c>
      <c r="X764" t="s">
        <v>35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2</v>
      </c>
      <c r="AI764">
        <v>1</v>
      </c>
      <c r="AJ764">
        <v>2</v>
      </c>
    </row>
    <row r="765" spans="1:36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tr">
        <v>yes</v>
      </c>
      <c r="S765" t="s">
        <v>48</v>
      </c>
      <c r="T765">
        <v>2220</v>
      </c>
      <c r="U765">
        <v>18410</v>
      </c>
      <c r="V765">
        <v>1</v>
      </c>
      <c r="W765" t="s">
        <v>42</v>
      </c>
      <c r="X765" t="s">
        <v>35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1</v>
      </c>
      <c r="AI765">
        <v>0</v>
      </c>
      <c r="AJ765">
        <v>0</v>
      </c>
    </row>
    <row r="766" spans="1:36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tr">
        <v>no</v>
      </c>
      <c r="S766" t="s">
        <v>48</v>
      </c>
      <c r="T766">
        <v>1052</v>
      </c>
      <c r="U766">
        <v>23384</v>
      </c>
      <c r="V766">
        <v>1</v>
      </c>
      <c r="W766" t="s">
        <v>42</v>
      </c>
      <c r="X766" t="s">
        <v>43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</row>
    <row r="767" spans="1:36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tr">
        <v>yes</v>
      </c>
      <c r="S767" t="s">
        <v>48</v>
      </c>
      <c r="T767">
        <v>2821</v>
      </c>
      <c r="U767">
        <v>2997</v>
      </c>
      <c r="V767">
        <v>3</v>
      </c>
      <c r="W767" t="s">
        <v>42</v>
      </c>
      <c r="X767" t="s">
        <v>43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2</v>
      </c>
      <c r="AI767">
        <v>2</v>
      </c>
      <c r="AJ767">
        <v>2</v>
      </c>
    </row>
    <row r="768" spans="1:36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tr">
        <v>yes</v>
      </c>
      <c r="S768" t="s">
        <v>48</v>
      </c>
      <c r="T768">
        <v>19237</v>
      </c>
      <c r="U768">
        <v>12853</v>
      </c>
      <c r="V768">
        <v>2</v>
      </c>
      <c r="W768" t="s">
        <v>42</v>
      </c>
      <c r="X768" t="s">
        <v>35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1</v>
      </c>
      <c r="AI768">
        <v>7</v>
      </c>
      <c r="AJ768">
        <v>7</v>
      </c>
    </row>
    <row r="769" spans="1:36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tr">
        <v>no</v>
      </c>
      <c r="S769" t="s">
        <v>41</v>
      </c>
      <c r="T769">
        <v>4107</v>
      </c>
      <c r="U769">
        <v>13848</v>
      </c>
      <c r="V769">
        <v>3</v>
      </c>
      <c r="W769" t="s">
        <v>42</v>
      </c>
      <c r="X769" t="s">
        <v>43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3</v>
      </c>
      <c r="AI769">
        <v>0</v>
      </c>
      <c r="AJ769">
        <v>1</v>
      </c>
    </row>
    <row r="770" spans="1:36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tr">
        <v>no</v>
      </c>
      <c r="S770" t="s">
        <v>48</v>
      </c>
      <c r="T770">
        <v>8396</v>
      </c>
      <c r="U770">
        <v>22217</v>
      </c>
      <c r="V770">
        <v>1</v>
      </c>
      <c r="W770" t="s">
        <v>42</v>
      </c>
      <c r="X770" t="s">
        <v>43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7</v>
      </c>
      <c r="AI770">
        <v>7</v>
      </c>
      <c r="AJ770">
        <v>5</v>
      </c>
    </row>
    <row r="771" spans="1:36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tr">
        <v>yes</v>
      </c>
      <c r="S771" t="s">
        <v>52</v>
      </c>
      <c r="T771">
        <v>2007</v>
      </c>
      <c r="U771">
        <v>25265</v>
      </c>
      <c r="V771">
        <v>1</v>
      </c>
      <c r="W771" t="s">
        <v>42</v>
      </c>
      <c r="X771" t="s">
        <v>43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3</v>
      </c>
      <c r="AI771">
        <v>1</v>
      </c>
      <c r="AJ771">
        <v>3</v>
      </c>
    </row>
    <row r="772" spans="1:36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tr">
        <v>yes</v>
      </c>
      <c r="S772" t="s">
        <v>52</v>
      </c>
      <c r="T772">
        <v>19627</v>
      </c>
      <c r="U772">
        <v>21445</v>
      </c>
      <c r="V772">
        <v>9</v>
      </c>
      <c r="W772" t="s">
        <v>42</v>
      </c>
      <c r="X772" t="s">
        <v>43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</v>
      </c>
      <c r="AI772">
        <v>2</v>
      </c>
      <c r="AJ772">
        <v>2</v>
      </c>
    </row>
    <row r="773" spans="1:36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tr">
        <v>yes</v>
      </c>
      <c r="S773" t="s">
        <v>48</v>
      </c>
      <c r="T773">
        <v>10686</v>
      </c>
      <c r="U773">
        <v>8392</v>
      </c>
      <c r="V773">
        <v>6</v>
      </c>
      <c r="W773" t="s">
        <v>42</v>
      </c>
      <c r="X773" t="s">
        <v>43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7</v>
      </c>
      <c r="AJ773">
        <v>0</v>
      </c>
    </row>
    <row r="774" spans="1:36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tr">
        <v>yes</v>
      </c>
      <c r="S774" t="s">
        <v>48</v>
      </c>
      <c r="T774">
        <v>2942</v>
      </c>
      <c r="U774">
        <v>12154</v>
      </c>
      <c r="V774">
        <v>2</v>
      </c>
      <c r="W774" t="s">
        <v>42</v>
      </c>
      <c r="X774" t="s">
        <v>43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4</v>
      </c>
      <c r="AI774">
        <v>0</v>
      </c>
      <c r="AJ774">
        <v>3</v>
      </c>
    </row>
    <row r="775" spans="1:36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tr">
        <v>yes</v>
      </c>
      <c r="S775" t="s">
        <v>41</v>
      </c>
      <c r="T775">
        <v>8858</v>
      </c>
      <c r="U775">
        <v>15669</v>
      </c>
      <c r="V775">
        <v>0</v>
      </c>
      <c r="W775" t="s">
        <v>42</v>
      </c>
      <c r="X775" t="s">
        <v>43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8</v>
      </c>
      <c r="AI775">
        <v>7</v>
      </c>
      <c r="AJ775">
        <v>8</v>
      </c>
    </row>
    <row r="776" spans="1:36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tr">
        <v>no</v>
      </c>
      <c r="S776" t="s">
        <v>41</v>
      </c>
      <c r="T776">
        <v>16756</v>
      </c>
      <c r="U776">
        <v>17323</v>
      </c>
      <c r="V776">
        <v>7</v>
      </c>
      <c r="W776" t="s">
        <v>42</v>
      </c>
      <c r="X776" t="s">
        <v>43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7</v>
      </c>
      <c r="AI776">
        <v>6</v>
      </c>
      <c r="AJ776">
        <v>2</v>
      </c>
    </row>
    <row r="777" spans="1:36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tr">
        <v>yes</v>
      </c>
      <c r="S777" t="s">
        <v>52</v>
      </c>
      <c r="T777">
        <v>10798</v>
      </c>
      <c r="U777">
        <v>5268</v>
      </c>
      <c r="V777">
        <v>5</v>
      </c>
      <c r="W777" t="s">
        <v>42</v>
      </c>
      <c r="X777" t="s">
        <v>43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0</v>
      </c>
      <c r="AI777">
        <v>0</v>
      </c>
      <c r="AJ777">
        <v>0</v>
      </c>
    </row>
    <row r="778" spans="1:36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tr">
        <v>yes</v>
      </c>
      <c r="S778" t="s">
        <v>41</v>
      </c>
      <c r="T778">
        <v>2323</v>
      </c>
      <c r="U778">
        <v>17205</v>
      </c>
      <c r="V778">
        <v>1</v>
      </c>
      <c r="W778" t="s">
        <v>42</v>
      </c>
      <c r="X778" t="s">
        <v>35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2</v>
      </c>
      <c r="AI778">
        <v>0</v>
      </c>
      <c r="AJ778">
        <v>2</v>
      </c>
    </row>
    <row r="779" spans="1:36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tr">
        <v>no</v>
      </c>
      <c r="S779" t="s">
        <v>41</v>
      </c>
      <c r="T779">
        <v>1416</v>
      </c>
      <c r="U779">
        <v>17258</v>
      </c>
      <c r="V779">
        <v>1</v>
      </c>
      <c r="W779" t="s">
        <v>42</v>
      </c>
      <c r="X779" t="s">
        <v>43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1</v>
      </c>
      <c r="AJ779">
        <v>0</v>
      </c>
    </row>
    <row r="780" spans="1:36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tr">
        <v>no</v>
      </c>
      <c r="S780" t="s">
        <v>52</v>
      </c>
      <c r="T780">
        <v>4615</v>
      </c>
      <c r="U780">
        <v>21029</v>
      </c>
      <c r="V780">
        <v>8</v>
      </c>
      <c r="W780" t="s">
        <v>42</v>
      </c>
      <c r="X780" t="s">
        <v>35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13</v>
      </c>
      <c r="AI780">
        <v>1</v>
      </c>
      <c r="AJ780">
        <v>7</v>
      </c>
    </row>
    <row r="781" spans="1:36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tr">
        <v>yes</v>
      </c>
      <c r="S781" t="s">
        <v>48</v>
      </c>
      <c r="T781">
        <v>2461</v>
      </c>
      <c r="U781">
        <v>10332</v>
      </c>
      <c r="V781">
        <v>9</v>
      </c>
      <c r="W781" t="s">
        <v>42</v>
      </c>
      <c r="X781" t="s">
        <v>35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0</v>
      </c>
      <c r="AI781">
        <v>2</v>
      </c>
      <c r="AJ781">
        <v>7</v>
      </c>
    </row>
    <row r="782" spans="1:36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tr">
        <v>no</v>
      </c>
      <c r="S782" t="s">
        <v>41</v>
      </c>
      <c r="T782">
        <v>8722</v>
      </c>
      <c r="U782">
        <v>12355</v>
      </c>
      <c r="V782">
        <v>1</v>
      </c>
      <c r="W782" t="s">
        <v>42</v>
      </c>
      <c r="X782" t="s">
        <v>43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7</v>
      </c>
      <c r="AI782">
        <v>1</v>
      </c>
      <c r="AJ782">
        <v>9</v>
      </c>
    </row>
    <row r="783" spans="1:36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tr">
        <v>no</v>
      </c>
      <c r="S783" t="s">
        <v>48</v>
      </c>
      <c r="T783">
        <v>3955</v>
      </c>
      <c r="U783">
        <v>11141</v>
      </c>
      <c r="V783">
        <v>1</v>
      </c>
      <c r="W783" t="s">
        <v>42</v>
      </c>
      <c r="X783" t="s">
        <v>43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3</v>
      </c>
      <c r="AI783">
        <v>1</v>
      </c>
      <c r="AJ783">
        <v>3</v>
      </c>
    </row>
    <row r="784" spans="1:36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tr">
        <v>no</v>
      </c>
      <c r="S784" t="s">
        <v>48</v>
      </c>
      <c r="T784">
        <v>9957</v>
      </c>
      <c r="U784">
        <v>9096</v>
      </c>
      <c r="V784">
        <v>0</v>
      </c>
      <c r="W784" t="s">
        <v>42</v>
      </c>
      <c r="X784" t="s">
        <v>43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2</v>
      </c>
      <c r="AI784">
        <v>0</v>
      </c>
      <c r="AJ784">
        <v>2</v>
      </c>
    </row>
    <row r="785" spans="1:36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tr">
        <v>yes</v>
      </c>
      <c r="S785" t="s">
        <v>48</v>
      </c>
      <c r="T785">
        <v>3376</v>
      </c>
      <c r="U785">
        <v>18863</v>
      </c>
      <c r="V785">
        <v>1</v>
      </c>
      <c r="W785" t="s">
        <v>42</v>
      </c>
      <c r="X785" t="s">
        <v>43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6</v>
      </c>
      <c r="AI785">
        <v>0</v>
      </c>
      <c r="AJ785">
        <v>8</v>
      </c>
    </row>
    <row r="786" spans="1:36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tr">
        <v>yes</v>
      </c>
      <c r="S786" t="s">
        <v>48</v>
      </c>
      <c r="T786">
        <v>8823</v>
      </c>
      <c r="U786">
        <v>24608</v>
      </c>
      <c r="V786">
        <v>0</v>
      </c>
      <c r="W786" t="s">
        <v>42</v>
      </c>
      <c r="X786" t="s">
        <v>43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9</v>
      </c>
      <c r="AI786">
        <v>1</v>
      </c>
      <c r="AJ786">
        <v>9</v>
      </c>
    </row>
    <row r="787" spans="1:36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tr">
        <v>yes</v>
      </c>
      <c r="S787" t="s">
        <v>48</v>
      </c>
      <c r="T787">
        <v>10322</v>
      </c>
      <c r="U787">
        <v>26542</v>
      </c>
      <c r="V787">
        <v>4</v>
      </c>
      <c r="W787" t="s">
        <v>42</v>
      </c>
      <c r="X787" t="s">
        <v>43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10</v>
      </c>
      <c r="AI787">
        <v>11</v>
      </c>
      <c r="AJ787">
        <v>1</v>
      </c>
    </row>
    <row r="788" spans="1:36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tr">
        <v>yes</v>
      </c>
      <c r="S788" t="s">
        <v>48</v>
      </c>
      <c r="T788">
        <v>4621</v>
      </c>
      <c r="U788">
        <v>5869</v>
      </c>
      <c r="V788">
        <v>1</v>
      </c>
      <c r="W788" t="s">
        <v>42</v>
      </c>
      <c r="X788" t="s">
        <v>43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2</v>
      </c>
      <c r="AI788">
        <v>1</v>
      </c>
      <c r="AJ788">
        <v>2</v>
      </c>
    </row>
    <row r="789" spans="1:36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tr">
        <v>no</v>
      </c>
      <c r="S789" t="s">
        <v>48</v>
      </c>
      <c r="T789">
        <v>10976</v>
      </c>
      <c r="U789">
        <v>15813</v>
      </c>
      <c r="V789">
        <v>3</v>
      </c>
      <c r="W789" t="s">
        <v>42</v>
      </c>
      <c r="X789" t="s">
        <v>43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</v>
      </c>
      <c r="AI789">
        <v>1</v>
      </c>
      <c r="AJ789">
        <v>2</v>
      </c>
    </row>
    <row r="790" spans="1:36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tr">
        <v>yes</v>
      </c>
      <c r="S790" t="s">
        <v>41</v>
      </c>
      <c r="T790">
        <v>3660</v>
      </c>
      <c r="U790">
        <v>7909</v>
      </c>
      <c r="V790">
        <v>3</v>
      </c>
      <c r="W790" t="s">
        <v>42</v>
      </c>
      <c r="X790" t="s">
        <v>43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7</v>
      </c>
      <c r="AI790">
        <v>1</v>
      </c>
      <c r="AJ790">
        <v>7</v>
      </c>
    </row>
    <row r="791" spans="1:36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tr">
        <v>no</v>
      </c>
      <c r="S791" t="s">
        <v>48</v>
      </c>
      <c r="T791">
        <v>10482</v>
      </c>
      <c r="U791">
        <v>2326</v>
      </c>
      <c r="V791">
        <v>9</v>
      </c>
      <c r="W791" t="s">
        <v>42</v>
      </c>
      <c r="X791" t="s">
        <v>43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6</v>
      </c>
      <c r="AI791">
        <v>3</v>
      </c>
      <c r="AJ791">
        <v>6</v>
      </c>
    </row>
    <row r="792" spans="1:36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tr">
        <v>yes</v>
      </c>
      <c r="S792" t="s">
        <v>52</v>
      </c>
      <c r="T792">
        <v>7119</v>
      </c>
      <c r="U792">
        <v>21214</v>
      </c>
      <c r="V792">
        <v>4</v>
      </c>
      <c r="W792" t="s">
        <v>42</v>
      </c>
      <c r="X792" t="s">
        <v>43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2</v>
      </c>
      <c r="AI792">
        <v>1</v>
      </c>
      <c r="AJ792">
        <v>2</v>
      </c>
    </row>
    <row r="793" spans="1:36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tr">
        <v>no</v>
      </c>
      <c r="S793" t="s">
        <v>41</v>
      </c>
      <c r="T793">
        <v>9582</v>
      </c>
      <c r="U793">
        <v>10333</v>
      </c>
      <c r="V793">
        <v>0</v>
      </c>
      <c r="W793" t="s">
        <v>42</v>
      </c>
      <c r="X793" t="s">
        <v>35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7</v>
      </c>
      <c r="AI793">
        <v>4</v>
      </c>
      <c r="AJ793">
        <v>7</v>
      </c>
    </row>
    <row r="794" spans="1:36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tr">
        <v>yes</v>
      </c>
      <c r="S794" t="s">
        <v>41</v>
      </c>
      <c r="T794">
        <v>4508</v>
      </c>
      <c r="U794">
        <v>3129</v>
      </c>
      <c r="V794">
        <v>1</v>
      </c>
      <c r="W794" t="s">
        <v>42</v>
      </c>
      <c r="X794" t="s">
        <v>43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7</v>
      </c>
      <c r="AI794">
        <v>3</v>
      </c>
      <c r="AJ794">
        <v>8</v>
      </c>
    </row>
    <row r="795" spans="1:36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tr">
        <v>yes</v>
      </c>
      <c r="S795" t="s">
        <v>52</v>
      </c>
      <c r="T795">
        <v>2207</v>
      </c>
      <c r="U795">
        <v>22482</v>
      </c>
      <c r="V795">
        <v>1</v>
      </c>
      <c r="W795" t="s">
        <v>42</v>
      </c>
      <c r="X795" t="s">
        <v>43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2</v>
      </c>
      <c r="AI795">
        <v>2</v>
      </c>
      <c r="AJ795">
        <v>2</v>
      </c>
    </row>
    <row r="796" spans="1:36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tr">
        <v>yes</v>
      </c>
      <c r="S796" t="s">
        <v>41</v>
      </c>
      <c r="T796">
        <v>7756</v>
      </c>
      <c r="U796">
        <v>22266</v>
      </c>
      <c r="V796">
        <v>0</v>
      </c>
      <c r="W796" t="s">
        <v>42</v>
      </c>
      <c r="X796" t="s">
        <v>43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2</v>
      </c>
      <c r="AI796">
        <v>0</v>
      </c>
      <c r="AJ796">
        <v>4</v>
      </c>
    </row>
    <row r="797" spans="1:36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tr">
        <v>yes</v>
      </c>
      <c r="S797" t="s">
        <v>52</v>
      </c>
      <c r="T797">
        <v>6694</v>
      </c>
      <c r="U797">
        <v>24223</v>
      </c>
      <c r="V797">
        <v>2</v>
      </c>
      <c r="W797" t="s">
        <v>42</v>
      </c>
      <c r="X797" t="s">
        <v>35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0</v>
      </c>
      <c r="AI797">
        <v>0</v>
      </c>
      <c r="AJ797">
        <v>0</v>
      </c>
    </row>
    <row r="798" spans="1:36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tr">
        <v>yes</v>
      </c>
      <c r="S798" t="s">
        <v>48</v>
      </c>
      <c r="T798">
        <v>3691</v>
      </c>
      <c r="U798">
        <v>4605</v>
      </c>
      <c r="V798">
        <v>1</v>
      </c>
      <c r="W798" t="s">
        <v>42</v>
      </c>
      <c r="X798" t="s">
        <v>35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7</v>
      </c>
      <c r="AI798">
        <v>5</v>
      </c>
      <c r="AJ798">
        <v>6</v>
      </c>
    </row>
    <row r="799" spans="1:36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tr">
        <v>yes</v>
      </c>
      <c r="S799" t="s">
        <v>52</v>
      </c>
      <c r="T799">
        <v>2377</v>
      </c>
      <c r="U799">
        <v>19373</v>
      </c>
      <c r="V799">
        <v>1</v>
      </c>
      <c r="W799" t="s">
        <v>42</v>
      </c>
      <c r="X799" t="s">
        <v>43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1</v>
      </c>
      <c r="AI799">
        <v>0</v>
      </c>
      <c r="AJ799">
        <v>0</v>
      </c>
    </row>
    <row r="800" spans="1:36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tr">
        <v>no</v>
      </c>
      <c r="S800" t="s">
        <v>41</v>
      </c>
      <c r="T800">
        <v>2313</v>
      </c>
      <c r="U800">
        <v>2993</v>
      </c>
      <c r="V800">
        <v>4</v>
      </c>
      <c r="W800" t="s">
        <v>42</v>
      </c>
      <c r="X800" t="s">
        <v>35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2</v>
      </c>
      <c r="AI800">
        <v>2</v>
      </c>
      <c r="AJ800">
        <v>2</v>
      </c>
    </row>
    <row r="801" spans="1:36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tr">
        <v>no</v>
      </c>
      <c r="S801" t="s">
        <v>48</v>
      </c>
      <c r="T801">
        <v>17665</v>
      </c>
      <c r="U801">
        <v>14399</v>
      </c>
      <c r="V801">
        <v>0</v>
      </c>
      <c r="W801" t="s">
        <v>42</v>
      </c>
      <c r="X801" t="s">
        <v>43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6</v>
      </c>
      <c r="AI801">
        <v>13</v>
      </c>
      <c r="AJ801">
        <v>7</v>
      </c>
    </row>
    <row r="802" spans="1:36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tr">
        <v>no</v>
      </c>
      <c r="S802" t="s">
        <v>52</v>
      </c>
      <c r="T802">
        <v>2596</v>
      </c>
      <c r="U802">
        <v>7160</v>
      </c>
      <c r="V802">
        <v>1</v>
      </c>
      <c r="W802" t="s">
        <v>42</v>
      </c>
      <c r="X802" t="s">
        <v>43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</row>
    <row r="803" spans="1:36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tr">
        <v>yes</v>
      </c>
      <c r="S803" t="s">
        <v>41</v>
      </c>
      <c r="T803">
        <v>4728</v>
      </c>
      <c r="U803">
        <v>17251</v>
      </c>
      <c r="V803">
        <v>3</v>
      </c>
      <c r="W803" t="s">
        <v>42</v>
      </c>
      <c r="X803" t="s">
        <v>35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0</v>
      </c>
      <c r="AI803">
        <v>0</v>
      </c>
      <c r="AJ803">
        <v>0</v>
      </c>
    </row>
    <row r="804" spans="1:36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tr">
        <v>no</v>
      </c>
      <c r="S804" t="s">
        <v>48</v>
      </c>
      <c r="T804">
        <v>4302</v>
      </c>
      <c r="U804">
        <v>13401</v>
      </c>
      <c r="V804">
        <v>0</v>
      </c>
      <c r="W804" t="s">
        <v>42</v>
      </c>
      <c r="X804" t="s">
        <v>43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2</v>
      </c>
      <c r="AI804">
        <v>0</v>
      </c>
      <c r="AJ804">
        <v>2</v>
      </c>
    </row>
    <row r="805" spans="1:36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tr">
        <v>yes</v>
      </c>
      <c r="S805" t="s">
        <v>48</v>
      </c>
      <c r="T805">
        <v>2979</v>
      </c>
      <c r="U805">
        <v>22478</v>
      </c>
      <c r="V805">
        <v>3</v>
      </c>
      <c r="W805" t="s">
        <v>42</v>
      </c>
      <c r="X805" t="s">
        <v>43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0</v>
      </c>
      <c r="AI805">
        <v>0</v>
      </c>
      <c r="AJ805">
        <v>0</v>
      </c>
    </row>
    <row r="806" spans="1:36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tr">
        <v>yes</v>
      </c>
      <c r="S806" t="s">
        <v>41</v>
      </c>
      <c r="T806">
        <v>16885</v>
      </c>
      <c r="U806">
        <v>16154</v>
      </c>
      <c r="V806">
        <v>2</v>
      </c>
      <c r="W806" t="s">
        <v>42</v>
      </c>
      <c r="X806" t="s">
        <v>43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4</v>
      </c>
      <c r="AI806">
        <v>2</v>
      </c>
      <c r="AJ806">
        <v>1</v>
      </c>
    </row>
    <row r="807" spans="1:36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tr">
        <v>yes</v>
      </c>
      <c r="S807" t="s">
        <v>48</v>
      </c>
      <c r="T807">
        <v>5593</v>
      </c>
      <c r="U807">
        <v>17970</v>
      </c>
      <c r="V807">
        <v>1</v>
      </c>
      <c r="W807" t="s">
        <v>42</v>
      </c>
      <c r="X807" t="s">
        <v>43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10</v>
      </c>
      <c r="AI807">
        <v>4</v>
      </c>
      <c r="AJ807">
        <v>12</v>
      </c>
    </row>
    <row r="808" spans="1:36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tr">
        <v>no</v>
      </c>
      <c r="S808" t="s">
        <v>41</v>
      </c>
      <c r="T808">
        <v>10445</v>
      </c>
      <c r="U808">
        <v>15322</v>
      </c>
      <c r="V808">
        <v>7</v>
      </c>
      <c r="W808" t="s">
        <v>42</v>
      </c>
      <c r="X808" t="s">
        <v>43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6</v>
      </c>
      <c r="AI808">
        <v>4</v>
      </c>
      <c r="AJ808">
        <v>0</v>
      </c>
    </row>
    <row r="809" spans="1:36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tr">
        <v>yes</v>
      </c>
      <c r="S809" t="s">
        <v>52</v>
      </c>
      <c r="T809">
        <v>8740</v>
      </c>
      <c r="U809">
        <v>5569</v>
      </c>
      <c r="V809">
        <v>0</v>
      </c>
      <c r="W809" t="s">
        <v>42</v>
      </c>
      <c r="X809" t="s">
        <v>35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7</v>
      </c>
      <c r="AI809">
        <v>2</v>
      </c>
      <c r="AJ809">
        <v>7</v>
      </c>
    </row>
    <row r="810" spans="1:36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tr">
        <v>yes</v>
      </c>
      <c r="S810" t="s">
        <v>52</v>
      </c>
      <c r="T810">
        <v>2514</v>
      </c>
      <c r="U810">
        <v>26968</v>
      </c>
      <c r="V810">
        <v>4</v>
      </c>
      <c r="W810" t="s">
        <v>42</v>
      </c>
      <c r="X810" t="s">
        <v>43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5</v>
      </c>
      <c r="AI810">
        <v>1</v>
      </c>
      <c r="AJ810">
        <v>7</v>
      </c>
    </row>
    <row r="811" spans="1:36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tr">
        <v>no</v>
      </c>
      <c r="S811" t="s">
        <v>52</v>
      </c>
      <c r="T811">
        <v>7655</v>
      </c>
      <c r="U811">
        <v>8039</v>
      </c>
      <c r="V811">
        <v>0</v>
      </c>
      <c r="W811" t="s">
        <v>42</v>
      </c>
      <c r="X811" t="s">
        <v>43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7</v>
      </c>
      <c r="AI811">
        <v>1</v>
      </c>
      <c r="AJ811">
        <v>7</v>
      </c>
    </row>
    <row r="812" spans="1:36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tr">
        <v>yes</v>
      </c>
      <c r="S812" t="s">
        <v>48</v>
      </c>
      <c r="T812">
        <v>17465</v>
      </c>
      <c r="U812">
        <v>15596</v>
      </c>
      <c r="V812">
        <v>3</v>
      </c>
      <c r="W812" t="s">
        <v>42</v>
      </c>
      <c r="X812" t="s">
        <v>43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9</v>
      </c>
      <c r="AI812">
        <v>4</v>
      </c>
      <c r="AJ812">
        <v>9</v>
      </c>
    </row>
    <row r="813" spans="1:36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tr">
        <v>no</v>
      </c>
      <c r="S813" t="s">
        <v>41</v>
      </c>
      <c r="T813">
        <v>7351</v>
      </c>
      <c r="U813">
        <v>20619</v>
      </c>
      <c r="V813">
        <v>7</v>
      </c>
      <c r="W813" t="s">
        <v>42</v>
      </c>
      <c r="X813" t="s">
        <v>43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0</v>
      </c>
      <c r="AI813">
        <v>0</v>
      </c>
      <c r="AJ813">
        <v>0</v>
      </c>
    </row>
    <row r="814" spans="1:36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tr">
        <v>no</v>
      </c>
      <c r="S814" t="s">
        <v>48</v>
      </c>
      <c r="T814">
        <v>10820</v>
      </c>
      <c r="U814">
        <v>11535</v>
      </c>
      <c r="V814">
        <v>8</v>
      </c>
      <c r="W814" t="s">
        <v>42</v>
      </c>
      <c r="X814" t="s">
        <v>43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7</v>
      </c>
      <c r="AI814">
        <v>0</v>
      </c>
      <c r="AJ814">
        <v>1</v>
      </c>
    </row>
    <row r="815" spans="1:36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tr">
        <v>yes</v>
      </c>
      <c r="S815" t="s">
        <v>52</v>
      </c>
      <c r="T815">
        <v>12169</v>
      </c>
      <c r="U815">
        <v>13547</v>
      </c>
      <c r="V815">
        <v>7</v>
      </c>
      <c r="W815" t="s">
        <v>42</v>
      </c>
      <c r="X815" t="s">
        <v>43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7</v>
      </c>
      <c r="AI815">
        <v>11</v>
      </c>
      <c r="AJ815">
        <v>5</v>
      </c>
    </row>
    <row r="816" spans="1:36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tr">
        <v>yes</v>
      </c>
      <c r="S816" t="s">
        <v>41</v>
      </c>
      <c r="T816">
        <v>19626</v>
      </c>
      <c r="U816">
        <v>17544</v>
      </c>
      <c r="V816">
        <v>1</v>
      </c>
      <c r="W816" t="s">
        <v>42</v>
      </c>
      <c r="X816" t="s">
        <v>43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7</v>
      </c>
      <c r="AI816">
        <v>4</v>
      </c>
      <c r="AJ816">
        <v>9</v>
      </c>
    </row>
    <row r="817" spans="1:36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tr">
        <v>no</v>
      </c>
      <c r="S817" t="s">
        <v>41</v>
      </c>
      <c r="T817">
        <v>2070</v>
      </c>
      <c r="U817">
        <v>25326</v>
      </c>
      <c r="V817">
        <v>1</v>
      </c>
      <c r="W817" t="s">
        <v>42</v>
      </c>
      <c r="X817" t="s">
        <v>35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2</v>
      </c>
      <c r="AI817">
        <v>2</v>
      </c>
      <c r="AJ817">
        <v>2</v>
      </c>
    </row>
    <row r="818" spans="1:36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tr">
        <v>no</v>
      </c>
      <c r="S818" t="s">
        <v>41</v>
      </c>
      <c r="T818">
        <v>6782</v>
      </c>
      <c r="U818">
        <v>8770</v>
      </c>
      <c r="V818">
        <v>9</v>
      </c>
      <c r="W818" t="s">
        <v>42</v>
      </c>
      <c r="X818" t="s">
        <v>43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0</v>
      </c>
      <c r="AJ818">
        <v>3</v>
      </c>
    </row>
    <row r="819" spans="1:36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tr">
        <v>yes</v>
      </c>
      <c r="S819" t="s">
        <v>41</v>
      </c>
      <c r="T819">
        <v>7779</v>
      </c>
      <c r="U819">
        <v>23238</v>
      </c>
      <c r="V819">
        <v>2</v>
      </c>
      <c r="W819" t="s">
        <v>42</v>
      </c>
      <c r="X819" t="s">
        <v>43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9</v>
      </c>
      <c r="AI819">
        <v>0</v>
      </c>
      <c r="AJ819">
        <v>9</v>
      </c>
    </row>
    <row r="820" spans="1:36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tr">
        <v>yes</v>
      </c>
      <c r="S820" t="s">
        <v>48</v>
      </c>
      <c r="T820">
        <v>2791</v>
      </c>
      <c r="U820">
        <v>21981</v>
      </c>
      <c r="V820">
        <v>0</v>
      </c>
      <c r="W820" t="s">
        <v>42</v>
      </c>
      <c r="X820" t="s">
        <v>43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2</v>
      </c>
      <c r="AI820">
        <v>2</v>
      </c>
      <c r="AJ820">
        <v>2</v>
      </c>
    </row>
    <row r="821" spans="1:36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tr">
        <v>no</v>
      </c>
      <c r="S821" t="s">
        <v>48</v>
      </c>
      <c r="T821">
        <v>3201</v>
      </c>
      <c r="U821">
        <v>19911</v>
      </c>
      <c r="V821">
        <v>0</v>
      </c>
      <c r="W821" t="s">
        <v>42</v>
      </c>
      <c r="X821" t="s">
        <v>43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3</v>
      </c>
      <c r="AI821">
        <v>0</v>
      </c>
      <c r="AJ821">
        <v>4</v>
      </c>
    </row>
    <row r="822" spans="1:36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tr">
        <v>yes</v>
      </c>
      <c r="S822" t="s">
        <v>52</v>
      </c>
      <c r="T822">
        <v>4968</v>
      </c>
      <c r="U822">
        <v>18500</v>
      </c>
      <c r="V822">
        <v>1</v>
      </c>
      <c r="W822" t="s">
        <v>42</v>
      </c>
      <c r="X822" t="s">
        <v>43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2</v>
      </c>
      <c r="AI822">
        <v>0</v>
      </c>
      <c r="AJ822">
        <v>2</v>
      </c>
    </row>
    <row r="823" spans="1:36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tr">
        <v>no</v>
      </c>
      <c r="S823" t="s">
        <v>48</v>
      </c>
      <c r="T823">
        <v>13120</v>
      </c>
      <c r="U823">
        <v>11879</v>
      </c>
      <c r="V823">
        <v>6</v>
      </c>
      <c r="W823" t="s">
        <v>42</v>
      </c>
      <c r="X823" t="s">
        <v>43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8</v>
      </c>
      <c r="AI823">
        <v>2</v>
      </c>
      <c r="AJ823">
        <v>3</v>
      </c>
    </row>
    <row r="824" spans="1:36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tr">
        <v>yes</v>
      </c>
      <c r="S824" t="s">
        <v>41</v>
      </c>
      <c r="T824">
        <v>4033</v>
      </c>
      <c r="U824">
        <v>15834</v>
      </c>
      <c r="V824">
        <v>2</v>
      </c>
      <c r="W824" t="s">
        <v>42</v>
      </c>
      <c r="X824" t="s">
        <v>43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0</v>
      </c>
      <c r="AJ824">
        <v>2</v>
      </c>
    </row>
    <row r="825" spans="1:36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tr">
        <v>no</v>
      </c>
      <c r="S825" t="s">
        <v>52</v>
      </c>
      <c r="T825">
        <v>3291</v>
      </c>
      <c r="U825">
        <v>17940</v>
      </c>
      <c r="V825">
        <v>0</v>
      </c>
      <c r="W825" t="s">
        <v>42</v>
      </c>
      <c r="X825" t="s">
        <v>43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5</v>
      </c>
      <c r="AI825">
        <v>1</v>
      </c>
      <c r="AJ825">
        <v>1</v>
      </c>
    </row>
    <row r="826" spans="1:36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tr">
        <v>yes</v>
      </c>
      <c r="S826" t="s">
        <v>41</v>
      </c>
      <c r="T826">
        <v>4272</v>
      </c>
      <c r="U826">
        <v>9558</v>
      </c>
      <c r="V826">
        <v>4</v>
      </c>
      <c r="W826" t="s">
        <v>42</v>
      </c>
      <c r="X826" t="s">
        <v>43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0</v>
      </c>
      <c r="AI826">
        <v>0</v>
      </c>
      <c r="AJ826">
        <v>0</v>
      </c>
    </row>
    <row r="827" spans="1:36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tr">
        <v>yes</v>
      </c>
      <c r="S827" t="s">
        <v>48</v>
      </c>
      <c r="T827">
        <v>5056</v>
      </c>
      <c r="U827">
        <v>17689</v>
      </c>
      <c r="V827">
        <v>1</v>
      </c>
      <c r="W827" t="s">
        <v>42</v>
      </c>
      <c r="X827" t="s">
        <v>35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7</v>
      </c>
      <c r="AI827">
        <v>1</v>
      </c>
      <c r="AJ827">
        <v>2</v>
      </c>
    </row>
    <row r="828" spans="1:36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tr">
        <v>yes</v>
      </c>
      <c r="S828" t="s">
        <v>48</v>
      </c>
      <c r="T828">
        <v>2844</v>
      </c>
      <c r="U828">
        <v>6004</v>
      </c>
      <c r="V828">
        <v>1</v>
      </c>
      <c r="W828" t="s">
        <v>42</v>
      </c>
      <c r="X828" t="s">
        <v>43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6</v>
      </c>
      <c r="AI828">
        <v>5</v>
      </c>
      <c r="AJ828">
        <v>0</v>
      </c>
    </row>
    <row r="829" spans="1:36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tr">
        <v>yes</v>
      </c>
      <c r="S829" t="s">
        <v>52</v>
      </c>
      <c r="T829">
        <v>2703</v>
      </c>
      <c r="U829">
        <v>22088</v>
      </c>
      <c r="V829">
        <v>1</v>
      </c>
      <c r="W829" t="s">
        <v>42</v>
      </c>
      <c r="X829" t="s">
        <v>35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1</v>
      </c>
      <c r="AI829">
        <v>0</v>
      </c>
      <c r="AJ829">
        <v>2</v>
      </c>
    </row>
    <row r="830" spans="1:36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tr">
        <v>yes</v>
      </c>
      <c r="S830" t="s">
        <v>41</v>
      </c>
      <c r="T830">
        <v>1904</v>
      </c>
      <c r="U830">
        <v>13556</v>
      </c>
      <c r="V830">
        <v>1</v>
      </c>
      <c r="W830" t="s">
        <v>42</v>
      </c>
      <c r="X830" t="s">
        <v>43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</row>
    <row r="831" spans="1:36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tr">
        <v>no</v>
      </c>
      <c r="S831" t="s">
        <v>41</v>
      </c>
      <c r="T831">
        <v>8224</v>
      </c>
      <c r="U831">
        <v>18385</v>
      </c>
      <c r="V831">
        <v>0</v>
      </c>
      <c r="W831" t="s">
        <v>42</v>
      </c>
      <c r="X831" t="s">
        <v>35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2</v>
      </c>
      <c r="AI831">
        <v>0</v>
      </c>
      <c r="AJ831">
        <v>3</v>
      </c>
    </row>
    <row r="832" spans="1:36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tr">
        <v>yes</v>
      </c>
      <c r="S832" t="s">
        <v>48</v>
      </c>
      <c r="T832">
        <v>4766</v>
      </c>
      <c r="U832">
        <v>9051</v>
      </c>
      <c r="V832">
        <v>3</v>
      </c>
      <c r="W832" t="s">
        <v>42</v>
      </c>
      <c r="X832" t="s">
        <v>35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0</v>
      </c>
      <c r="AI832">
        <v>0</v>
      </c>
      <c r="AJ832">
        <v>0</v>
      </c>
    </row>
    <row r="833" spans="1:36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tr">
        <v>yes</v>
      </c>
      <c r="S833" t="s">
        <v>48</v>
      </c>
      <c r="T833">
        <v>2610</v>
      </c>
      <c r="U833">
        <v>6233</v>
      </c>
      <c r="V833">
        <v>1</v>
      </c>
      <c r="W833" t="s">
        <v>42</v>
      </c>
      <c r="X833" t="s">
        <v>43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2</v>
      </c>
      <c r="AI833">
        <v>2</v>
      </c>
      <c r="AJ833">
        <v>2</v>
      </c>
    </row>
    <row r="834" spans="1:36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tr">
        <v>yes</v>
      </c>
      <c r="S834" t="s">
        <v>52</v>
      </c>
      <c r="T834">
        <v>5731</v>
      </c>
      <c r="U834">
        <v>17171</v>
      </c>
      <c r="V834">
        <v>7</v>
      </c>
      <c r="W834" t="s">
        <v>42</v>
      </c>
      <c r="X834" t="s">
        <v>43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2</v>
      </c>
      <c r="AI834">
        <v>1</v>
      </c>
      <c r="AJ834">
        <v>3</v>
      </c>
    </row>
    <row r="835" spans="1:36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tr">
        <v>yes</v>
      </c>
      <c r="S835" t="s">
        <v>48</v>
      </c>
      <c r="T835">
        <v>2539</v>
      </c>
      <c r="U835">
        <v>7950</v>
      </c>
      <c r="V835">
        <v>1</v>
      </c>
      <c r="W835" t="s">
        <v>42</v>
      </c>
      <c r="X835" t="s">
        <v>43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2</v>
      </c>
      <c r="AI835">
        <v>2</v>
      </c>
      <c r="AJ835">
        <v>2</v>
      </c>
    </row>
    <row r="836" spans="1:36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tr">
        <v>yes</v>
      </c>
      <c r="S836" t="s">
        <v>48</v>
      </c>
      <c r="T836">
        <v>5714</v>
      </c>
      <c r="U836">
        <v>5829</v>
      </c>
      <c r="V836">
        <v>1</v>
      </c>
      <c r="W836" t="s">
        <v>42</v>
      </c>
      <c r="X836" t="s">
        <v>43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5</v>
      </c>
      <c r="AI836">
        <v>1</v>
      </c>
      <c r="AJ836">
        <v>3</v>
      </c>
    </row>
    <row r="837" spans="1:36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tr">
        <v>yes</v>
      </c>
      <c r="S837" t="s">
        <v>41</v>
      </c>
      <c r="T837">
        <v>4323</v>
      </c>
      <c r="U837">
        <v>7108</v>
      </c>
      <c r="V837">
        <v>1</v>
      </c>
      <c r="W837" t="s">
        <v>42</v>
      </c>
      <c r="X837" t="s">
        <v>43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4</v>
      </c>
      <c r="AI837">
        <v>1</v>
      </c>
      <c r="AJ837">
        <v>4</v>
      </c>
    </row>
    <row r="838" spans="1:36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tr">
        <v>no</v>
      </c>
      <c r="S838" t="s">
        <v>48</v>
      </c>
      <c r="T838">
        <v>7336</v>
      </c>
      <c r="U838">
        <v>11162</v>
      </c>
      <c r="V838">
        <v>1</v>
      </c>
      <c r="W838" t="s">
        <v>42</v>
      </c>
      <c r="X838" t="s">
        <v>43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8</v>
      </c>
      <c r="AI838">
        <v>3</v>
      </c>
      <c r="AJ838">
        <v>10</v>
      </c>
    </row>
    <row r="839" spans="1:36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tr">
        <v>yes</v>
      </c>
      <c r="S839" t="s">
        <v>41</v>
      </c>
      <c r="T839">
        <v>13499</v>
      </c>
      <c r="U839">
        <v>13782</v>
      </c>
      <c r="V839">
        <v>9</v>
      </c>
      <c r="W839" t="s">
        <v>42</v>
      </c>
      <c r="X839" t="s">
        <v>43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7</v>
      </c>
      <c r="AI839">
        <v>2</v>
      </c>
      <c r="AJ839">
        <v>13</v>
      </c>
    </row>
    <row r="840" spans="1:36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tr">
        <v>no</v>
      </c>
      <c r="S840" t="s">
        <v>41</v>
      </c>
      <c r="T840">
        <v>13758</v>
      </c>
      <c r="U840">
        <v>2447</v>
      </c>
      <c r="V840">
        <v>0</v>
      </c>
      <c r="W840" t="s">
        <v>42</v>
      </c>
      <c r="X840" t="s">
        <v>35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9</v>
      </c>
      <c r="AI840">
        <v>13</v>
      </c>
      <c r="AJ840">
        <v>14</v>
      </c>
    </row>
    <row r="841" spans="1:36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tr">
        <v>no</v>
      </c>
      <c r="S841" t="s">
        <v>41</v>
      </c>
      <c r="T841">
        <v>5155</v>
      </c>
      <c r="U841">
        <v>2253</v>
      </c>
      <c r="V841">
        <v>7</v>
      </c>
      <c r="W841" t="s">
        <v>42</v>
      </c>
      <c r="X841" t="s">
        <v>43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4</v>
      </c>
      <c r="AI841">
        <v>1</v>
      </c>
      <c r="AJ841">
        <v>5</v>
      </c>
    </row>
    <row r="842" spans="1:36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tr">
        <v>yes</v>
      </c>
      <c r="S842" t="s">
        <v>48</v>
      </c>
      <c r="T842">
        <v>2258</v>
      </c>
      <c r="U842">
        <v>16340</v>
      </c>
      <c r="V842">
        <v>6</v>
      </c>
      <c r="W842" t="s">
        <v>42</v>
      </c>
      <c r="X842" t="s">
        <v>43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0</v>
      </c>
      <c r="AI842">
        <v>1</v>
      </c>
      <c r="AJ842">
        <v>7</v>
      </c>
    </row>
    <row r="843" spans="1:36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tr">
        <v>no</v>
      </c>
      <c r="S843" t="s">
        <v>41</v>
      </c>
      <c r="T843">
        <v>3597</v>
      </c>
      <c r="U843">
        <v>6409</v>
      </c>
      <c r="V843">
        <v>8</v>
      </c>
      <c r="W843" t="s">
        <v>42</v>
      </c>
      <c r="X843" t="s">
        <v>43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3</v>
      </c>
      <c r="AI843">
        <v>1</v>
      </c>
      <c r="AJ843">
        <v>2</v>
      </c>
    </row>
    <row r="844" spans="1:36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tr">
        <v>yes</v>
      </c>
      <c r="S844" t="s">
        <v>48</v>
      </c>
      <c r="T844">
        <v>2515</v>
      </c>
      <c r="U844">
        <v>22955</v>
      </c>
      <c r="V844">
        <v>1</v>
      </c>
      <c r="W844" t="s">
        <v>42</v>
      </c>
      <c r="X844" t="s">
        <v>35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1</v>
      </c>
      <c r="AI844">
        <v>0</v>
      </c>
      <c r="AJ844">
        <v>0</v>
      </c>
    </row>
    <row r="845" spans="1:36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tr">
        <v>yes</v>
      </c>
      <c r="S845" t="s">
        <v>48</v>
      </c>
      <c r="T845">
        <v>4420</v>
      </c>
      <c r="U845">
        <v>13421</v>
      </c>
      <c r="V845">
        <v>1</v>
      </c>
      <c r="W845" t="s">
        <v>42</v>
      </c>
      <c r="X845" t="s">
        <v>43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7</v>
      </c>
      <c r="AI845">
        <v>0</v>
      </c>
      <c r="AJ845">
        <v>7</v>
      </c>
    </row>
    <row r="846" spans="1:36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tr">
        <v>yes</v>
      </c>
      <c r="S846" t="s">
        <v>48</v>
      </c>
      <c r="T846">
        <v>6578</v>
      </c>
      <c r="U846">
        <v>2706</v>
      </c>
      <c r="V846">
        <v>1</v>
      </c>
      <c r="W846" t="s">
        <v>42</v>
      </c>
      <c r="X846" t="s">
        <v>43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3</v>
      </c>
      <c r="AI846">
        <v>1</v>
      </c>
      <c r="AJ846">
        <v>4</v>
      </c>
    </row>
    <row r="847" spans="1:36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tr">
        <v>yes</v>
      </c>
      <c r="S847" t="s">
        <v>48</v>
      </c>
      <c r="T847">
        <v>4422</v>
      </c>
      <c r="U847">
        <v>21203</v>
      </c>
      <c r="V847">
        <v>3</v>
      </c>
      <c r="W847" t="s">
        <v>42</v>
      </c>
      <c r="X847" t="s">
        <v>35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</v>
      </c>
      <c r="AI847">
        <v>0</v>
      </c>
      <c r="AJ847">
        <v>0</v>
      </c>
    </row>
    <row r="848" spans="1:36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tr">
        <v>no</v>
      </c>
      <c r="S848" t="s">
        <v>52</v>
      </c>
      <c r="T848">
        <v>10274</v>
      </c>
      <c r="U848">
        <v>19588</v>
      </c>
      <c r="V848">
        <v>2</v>
      </c>
      <c r="W848" t="s">
        <v>42</v>
      </c>
      <c r="X848" t="s">
        <v>43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7</v>
      </c>
      <c r="AI848">
        <v>6</v>
      </c>
      <c r="AJ848">
        <v>4</v>
      </c>
    </row>
    <row r="849" spans="1:36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tr">
        <v>no</v>
      </c>
      <c r="S849" t="s">
        <v>41</v>
      </c>
      <c r="T849">
        <v>5343</v>
      </c>
      <c r="U849">
        <v>25755</v>
      </c>
      <c r="V849">
        <v>0</v>
      </c>
      <c r="W849" t="s">
        <v>42</v>
      </c>
      <c r="X849" t="s">
        <v>43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9</v>
      </c>
      <c r="AI849">
        <v>4</v>
      </c>
      <c r="AJ849">
        <v>9</v>
      </c>
    </row>
    <row r="850" spans="1:36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tr">
        <v>yes</v>
      </c>
      <c r="S850" t="s">
        <v>48</v>
      </c>
      <c r="T850">
        <v>2376</v>
      </c>
      <c r="U850">
        <v>26537</v>
      </c>
      <c r="V850">
        <v>1</v>
      </c>
      <c r="W850" t="s">
        <v>42</v>
      </c>
      <c r="X850" t="s">
        <v>43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2</v>
      </c>
      <c r="AI850">
        <v>2</v>
      </c>
      <c r="AJ850">
        <v>2</v>
      </c>
    </row>
    <row r="851" spans="1:36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tr">
        <v>yes</v>
      </c>
      <c r="S851" t="s">
        <v>41</v>
      </c>
      <c r="T851">
        <v>5346</v>
      </c>
      <c r="U851">
        <v>9489</v>
      </c>
      <c r="V851">
        <v>8</v>
      </c>
      <c r="W851" t="s">
        <v>42</v>
      </c>
      <c r="X851" t="s">
        <v>43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1</v>
      </c>
      <c r="AJ851">
        <v>3</v>
      </c>
    </row>
    <row r="852" spans="1:36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tr">
        <v>no</v>
      </c>
      <c r="S852" t="s">
        <v>52</v>
      </c>
      <c r="T852">
        <v>2827</v>
      </c>
      <c r="U852">
        <v>14947</v>
      </c>
      <c r="V852">
        <v>1</v>
      </c>
      <c r="W852" t="s">
        <v>42</v>
      </c>
      <c r="X852" t="s">
        <v>43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</row>
    <row r="853" spans="1:36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tr">
        <v>no</v>
      </c>
      <c r="S853" t="s">
        <v>52</v>
      </c>
      <c r="T853">
        <v>19943</v>
      </c>
      <c r="U853">
        <v>18575</v>
      </c>
      <c r="V853">
        <v>4</v>
      </c>
      <c r="W853" t="s">
        <v>42</v>
      </c>
      <c r="X853" t="s">
        <v>43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</v>
      </c>
      <c r="AI853">
        <v>4</v>
      </c>
      <c r="AJ853">
        <v>2</v>
      </c>
    </row>
    <row r="854" spans="1:36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tr">
        <v>yes</v>
      </c>
      <c r="S854" t="s">
        <v>48</v>
      </c>
      <c r="T854">
        <v>3131</v>
      </c>
      <c r="U854">
        <v>26342</v>
      </c>
      <c r="V854">
        <v>1</v>
      </c>
      <c r="W854" t="s">
        <v>42</v>
      </c>
      <c r="X854" t="s">
        <v>43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8</v>
      </c>
      <c r="AI854">
        <v>0</v>
      </c>
      <c r="AJ854">
        <v>8</v>
      </c>
    </row>
    <row r="855" spans="1:36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tr">
        <v>no</v>
      </c>
      <c r="S855" t="s">
        <v>41</v>
      </c>
      <c r="T855">
        <v>2552</v>
      </c>
      <c r="U855">
        <v>7172</v>
      </c>
      <c r="V855">
        <v>1</v>
      </c>
      <c r="W855" t="s">
        <v>42</v>
      </c>
      <c r="X855" t="s">
        <v>43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1</v>
      </c>
      <c r="AI855">
        <v>0</v>
      </c>
      <c r="AJ855">
        <v>0</v>
      </c>
    </row>
    <row r="856" spans="1:36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tr">
        <v>yes</v>
      </c>
      <c r="S856" t="s">
        <v>48</v>
      </c>
      <c r="T856">
        <v>4477</v>
      </c>
      <c r="U856">
        <v>20100</v>
      </c>
      <c r="V856">
        <v>4</v>
      </c>
      <c r="W856" t="s">
        <v>42</v>
      </c>
      <c r="X856" t="s">
        <v>35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2</v>
      </c>
      <c r="AI856">
        <v>0</v>
      </c>
      <c r="AJ856">
        <v>2</v>
      </c>
    </row>
    <row r="857" spans="1:36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tr">
        <v>yes</v>
      </c>
      <c r="S857" t="s">
        <v>48</v>
      </c>
      <c r="T857">
        <v>6474</v>
      </c>
      <c r="U857">
        <v>9961</v>
      </c>
      <c r="V857">
        <v>1</v>
      </c>
      <c r="W857" t="s">
        <v>42</v>
      </c>
      <c r="X857" t="s">
        <v>43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8</v>
      </c>
      <c r="AI857">
        <v>3</v>
      </c>
      <c r="AJ857">
        <v>11</v>
      </c>
    </row>
    <row r="858" spans="1:36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tr">
        <v>yes</v>
      </c>
      <c r="S858" t="s">
        <v>41</v>
      </c>
      <c r="T858">
        <v>3033</v>
      </c>
      <c r="U858">
        <v>12828</v>
      </c>
      <c r="V858">
        <v>1</v>
      </c>
      <c r="W858" t="s">
        <v>42</v>
      </c>
      <c r="X858" t="s">
        <v>43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2</v>
      </c>
      <c r="AI858">
        <v>1</v>
      </c>
      <c r="AJ858">
        <v>2</v>
      </c>
    </row>
    <row r="859" spans="1:36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tr">
        <v>yes</v>
      </c>
      <c r="S859" t="s">
        <v>41</v>
      </c>
      <c r="T859">
        <v>2936</v>
      </c>
      <c r="U859">
        <v>10826</v>
      </c>
      <c r="V859">
        <v>1</v>
      </c>
      <c r="W859" t="s">
        <v>42</v>
      </c>
      <c r="X859" t="s">
        <v>35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4</v>
      </c>
      <c r="AI859">
        <v>0</v>
      </c>
      <c r="AJ859">
        <v>2</v>
      </c>
    </row>
    <row r="860" spans="1:36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tr">
        <v>yes</v>
      </c>
      <c r="S860" t="s">
        <v>52</v>
      </c>
      <c r="T860">
        <v>18606</v>
      </c>
      <c r="U860">
        <v>18640</v>
      </c>
      <c r="V860">
        <v>3</v>
      </c>
      <c r="W860" t="s">
        <v>42</v>
      </c>
      <c r="X860" t="s">
        <v>43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7</v>
      </c>
      <c r="AI860">
        <v>4</v>
      </c>
      <c r="AJ860">
        <v>7</v>
      </c>
    </row>
    <row r="861" spans="1:36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tr">
        <v>yes</v>
      </c>
      <c r="S861" t="s">
        <v>48</v>
      </c>
      <c r="T861">
        <v>2168</v>
      </c>
      <c r="U861">
        <v>26933</v>
      </c>
      <c r="V861">
        <v>0</v>
      </c>
      <c r="W861" t="s">
        <v>42</v>
      </c>
      <c r="X861" t="s">
        <v>35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4</v>
      </c>
      <c r="AI861">
        <v>1</v>
      </c>
      <c r="AJ861">
        <v>3</v>
      </c>
    </row>
    <row r="862" spans="1:36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tr">
        <v>yes</v>
      </c>
      <c r="S862" t="s">
        <v>48</v>
      </c>
      <c r="T862">
        <v>2853</v>
      </c>
      <c r="U862">
        <v>4223</v>
      </c>
      <c r="V862">
        <v>0</v>
      </c>
      <c r="W862" t="s">
        <v>42</v>
      </c>
      <c r="X862" t="s">
        <v>35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0</v>
      </c>
      <c r="AI862">
        <v>0</v>
      </c>
      <c r="AJ862">
        <v>0</v>
      </c>
    </row>
    <row r="863" spans="1:36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tr">
        <v>no</v>
      </c>
      <c r="S863" t="s">
        <v>48</v>
      </c>
      <c r="T863">
        <v>17048</v>
      </c>
      <c r="U863">
        <v>24097</v>
      </c>
      <c r="V863">
        <v>8</v>
      </c>
      <c r="W863" t="s">
        <v>42</v>
      </c>
      <c r="X863" t="s">
        <v>43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15</v>
      </c>
      <c r="AI863">
        <v>15</v>
      </c>
      <c r="AJ863">
        <v>9</v>
      </c>
    </row>
    <row r="864" spans="1:36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tr">
        <v>yes</v>
      </c>
      <c r="S864" t="s">
        <v>41</v>
      </c>
      <c r="T864">
        <v>2290</v>
      </c>
      <c r="U864">
        <v>4279</v>
      </c>
      <c r="V864">
        <v>2</v>
      </c>
      <c r="W864" t="s">
        <v>42</v>
      </c>
      <c r="X864" t="s">
        <v>43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0</v>
      </c>
      <c r="AI864">
        <v>0</v>
      </c>
      <c r="AJ864">
        <v>0</v>
      </c>
    </row>
    <row r="865" spans="1:36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tr">
        <v>yes</v>
      </c>
      <c r="S865" t="s">
        <v>48</v>
      </c>
      <c r="T865">
        <v>3600</v>
      </c>
      <c r="U865">
        <v>8429</v>
      </c>
      <c r="V865">
        <v>1</v>
      </c>
      <c r="W865" t="s">
        <v>42</v>
      </c>
      <c r="X865" t="s">
        <v>43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4</v>
      </c>
      <c r="AI865">
        <v>1</v>
      </c>
      <c r="AJ865">
        <v>4</v>
      </c>
    </row>
    <row r="866" spans="1:36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tr">
        <v>no</v>
      </c>
      <c r="S866" t="s">
        <v>52</v>
      </c>
      <c r="T866">
        <v>2107</v>
      </c>
      <c r="U866">
        <v>20293</v>
      </c>
      <c r="V866">
        <v>6</v>
      </c>
      <c r="W866" t="s">
        <v>42</v>
      </c>
      <c r="X866" t="s">
        <v>43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0</v>
      </c>
      <c r="AI866">
        <v>0</v>
      </c>
      <c r="AJ866">
        <v>0</v>
      </c>
    </row>
    <row r="867" spans="1:36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tr">
        <v>no</v>
      </c>
      <c r="S867" t="s">
        <v>52</v>
      </c>
      <c r="T867">
        <v>4115</v>
      </c>
      <c r="U867">
        <v>13192</v>
      </c>
      <c r="V867">
        <v>8</v>
      </c>
      <c r="W867" t="s">
        <v>42</v>
      </c>
      <c r="X867" t="s">
        <v>43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3</v>
      </c>
      <c r="AI867">
        <v>0</v>
      </c>
      <c r="AJ867">
        <v>3</v>
      </c>
    </row>
    <row r="868" spans="1:36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tr">
        <v>no</v>
      </c>
      <c r="S868" t="s">
        <v>48</v>
      </c>
      <c r="T868">
        <v>4327</v>
      </c>
      <c r="U868">
        <v>25440</v>
      </c>
      <c r="V868">
        <v>5</v>
      </c>
      <c r="W868" t="s">
        <v>42</v>
      </c>
      <c r="X868" t="s">
        <v>43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0</v>
      </c>
      <c r="AI868">
        <v>0</v>
      </c>
      <c r="AJ868">
        <v>0</v>
      </c>
    </row>
    <row r="869" spans="1:36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tr">
        <v>no</v>
      </c>
      <c r="S869" t="s">
        <v>48</v>
      </c>
      <c r="T869">
        <v>17856</v>
      </c>
      <c r="U869">
        <v>9490</v>
      </c>
      <c r="V869">
        <v>2</v>
      </c>
      <c r="W869" t="s">
        <v>42</v>
      </c>
      <c r="X869" t="s">
        <v>43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2</v>
      </c>
      <c r="AI869">
        <v>2</v>
      </c>
      <c r="AJ869">
        <v>2</v>
      </c>
    </row>
    <row r="870" spans="1:36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tr">
        <v>no</v>
      </c>
      <c r="S870" t="s">
        <v>48</v>
      </c>
      <c r="T870">
        <v>3196</v>
      </c>
      <c r="U870">
        <v>12449</v>
      </c>
      <c r="V870">
        <v>1</v>
      </c>
      <c r="W870" t="s">
        <v>42</v>
      </c>
      <c r="X870" t="s">
        <v>43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5</v>
      </c>
      <c r="AI870">
        <v>3</v>
      </c>
      <c r="AJ870">
        <v>3</v>
      </c>
    </row>
    <row r="871" spans="1:36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tr">
        <v>no</v>
      </c>
      <c r="S871" t="s">
        <v>48</v>
      </c>
      <c r="T871">
        <v>19081</v>
      </c>
      <c r="U871">
        <v>10849</v>
      </c>
      <c r="V871">
        <v>5</v>
      </c>
      <c r="W871" t="s">
        <v>42</v>
      </c>
      <c r="X871" t="s">
        <v>43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</v>
      </c>
      <c r="AI871">
        <v>0</v>
      </c>
      <c r="AJ871">
        <v>3</v>
      </c>
    </row>
    <row r="872" spans="1:36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tr">
        <v>no</v>
      </c>
      <c r="S872" t="s">
        <v>48</v>
      </c>
      <c r="T872">
        <v>8966</v>
      </c>
      <c r="U872">
        <v>21026</v>
      </c>
      <c r="V872">
        <v>3</v>
      </c>
      <c r="W872" t="s">
        <v>42</v>
      </c>
      <c r="X872" t="s">
        <v>35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7</v>
      </c>
      <c r="AI872">
        <v>1</v>
      </c>
      <c r="AJ872">
        <v>7</v>
      </c>
    </row>
    <row r="873" spans="1:36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tr">
        <v>no</v>
      </c>
      <c r="S873" t="s">
        <v>48</v>
      </c>
      <c r="T873">
        <v>2210</v>
      </c>
      <c r="U873">
        <v>3372</v>
      </c>
      <c r="V873">
        <v>1</v>
      </c>
      <c r="W873" t="s">
        <v>42</v>
      </c>
      <c r="X873" t="s">
        <v>43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</row>
    <row r="874" spans="1:36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tr">
        <v>yes</v>
      </c>
      <c r="S874" t="s">
        <v>48</v>
      </c>
      <c r="T874">
        <v>4539</v>
      </c>
      <c r="U874">
        <v>4905</v>
      </c>
      <c r="V874">
        <v>1</v>
      </c>
      <c r="W874" t="s">
        <v>42</v>
      </c>
      <c r="X874" t="s">
        <v>43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7</v>
      </c>
      <c r="AI874">
        <v>0</v>
      </c>
      <c r="AJ874">
        <v>1</v>
      </c>
    </row>
    <row r="875" spans="1:36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tr">
        <v>yes</v>
      </c>
      <c r="S875" t="s">
        <v>52</v>
      </c>
      <c r="T875">
        <v>2741</v>
      </c>
      <c r="U875">
        <v>6865</v>
      </c>
      <c r="V875">
        <v>1</v>
      </c>
      <c r="W875" t="s">
        <v>42</v>
      </c>
      <c r="X875" t="s">
        <v>43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7</v>
      </c>
      <c r="AI875">
        <v>1</v>
      </c>
      <c r="AJ875">
        <v>7</v>
      </c>
    </row>
    <row r="876" spans="1:36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tr">
        <v>yes</v>
      </c>
      <c r="S876" t="s">
        <v>52</v>
      </c>
      <c r="T876">
        <v>3491</v>
      </c>
      <c r="U876">
        <v>11309</v>
      </c>
      <c r="V876">
        <v>1</v>
      </c>
      <c r="W876" t="s">
        <v>42</v>
      </c>
      <c r="X876" t="s">
        <v>43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7</v>
      </c>
      <c r="AI876">
        <v>8</v>
      </c>
      <c r="AJ876">
        <v>9</v>
      </c>
    </row>
    <row r="877" spans="1:36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tr">
        <v>yes</v>
      </c>
      <c r="S877" t="s">
        <v>41</v>
      </c>
      <c r="T877">
        <v>4541</v>
      </c>
      <c r="U877">
        <v>7744</v>
      </c>
      <c r="V877">
        <v>1</v>
      </c>
      <c r="W877" t="s">
        <v>42</v>
      </c>
      <c r="X877" t="s">
        <v>43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11</v>
      </c>
      <c r="AI877">
        <v>13</v>
      </c>
      <c r="AJ877">
        <v>17</v>
      </c>
    </row>
    <row r="878" spans="1:36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tr">
        <v>yes</v>
      </c>
      <c r="S878" t="s">
        <v>41</v>
      </c>
      <c r="T878">
        <v>2678</v>
      </c>
      <c r="U878">
        <v>5050</v>
      </c>
      <c r="V878">
        <v>1</v>
      </c>
      <c r="W878" t="s">
        <v>42</v>
      </c>
      <c r="X878" t="s">
        <v>43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1</v>
      </c>
      <c r="AI878">
        <v>2</v>
      </c>
      <c r="AJ878">
        <v>2</v>
      </c>
    </row>
    <row r="879" spans="1:36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tr">
        <v>yes</v>
      </c>
      <c r="S879" t="s">
        <v>52</v>
      </c>
      <c r="T879">
        <v>7379</v>
      </c>
      <c r="U879">
        <v>17433</v>
      </c>
      <c r="V879">
        <v>2</v>
      </c>
      <c r="W879" t="s">
        <v>42</v>
      </c>
      <c r="X879" t="s">
        <v>43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3</v>
      </c>
      <c r="AI879">
        <v>1</v>
      </c>
      <c r="AJ879">
        <v>4</v>
      </c>
    </row>
    <row r="880" spans="1:36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tr">
        <v>no</v>
      </c>
      <c r="S880" t="s">
        <v>48</v>
      </c>
      <c r="T880">
        <v>6272</v>
      </c>
      <c r="U880">
        <v>12858</v>
      </c>
      <c r="V880">
        <v>7</v>
      </c>
      <c r="W880" t="s">
        <v>42</v>
      </c>
      <c r="X880" t="s">
        <v>43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3</v>
      </c>
      <c r="AI880">
        <v>0</v>
      </c>
      <c r="AJ880">
        <v>3</v>
      </c>
    </row>
    <row r="881" spans="1:36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tr">
        <v>yes</v>
      </c>
      <c r="S881" t="s">
        <v>52</v>
      </c>
      <c r="T881">
        <v>5220</v>
      </c>
      <c r="U881">
        <v>10893</v>
      </c>
      <c r="V881">
        <v>0</v>
      </c>
      <c r="W881" t="s">
        <v>42</v>
      </c>
      <c r="X881" t="s">
        <v>35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7</v>
      </c>
      <c r="AI881">
        <v>1</v>
      </c>
      <c r="AJ881">
        <v>9</v>
      </c>
    </row>
    <row r="882" spans="1:36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tr">
        <v>no</v>
      </c>
      <c r="S882" t="s">
        <v>48</v>
      </c>
      <c r="T882">
        <v>2743</v>
      </c>
      <c r="U882">
        <v>7331</v>
      </c>
      <c r="V882">
        <v>1</v>
      </c>
      <c r="W882" t="s">
        <v>42</v>
      </c>
      <c r="X882" t="s">
        <v>43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2</v>
      </c>
      <c r="AI882">
        <v>2</v>
      </c>
      <c r="AJ882">
        <v>2</v>
      </c>
    </row>
    <row r="883" spans="1:36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tr">
        <v>yes</v>
      </c>
      <c r="S883" t="s">
        <v>41</v>
      </c>
      <c r="T883">
        <v>4998</v>
      </c>
      <c r="U883">
        <v>2338</v>
      </c>
      <c r="V883">
        <v>4</v>
      </c>
      <c r="W883" t="s">
        <v>42</v>
      </c>
      <c r="X883" t="s">
        <v>35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7</v>
      </c>
      <c r="AI883">
        <v>0</v>
      </c>
      <c r="AJ883">
        <v>7</v>
      </c>
    </row>
    <row r="884" spans="1:36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tr">
        <v>no</v>
      </c>
      <c r="S884" t="s">
        <v>52</v>
      </c>
      <c r="T884">
        <v>10252</v>
      </c>
      <c r="U884">
        <v>4235</v>
      </c>
      <c r="V884">
        <v>2</v>
      </c>
      <c r="W884" t="s">
        <v>42</v>
      </c>
      <c r="X884" t="s">
        <v>35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7</v>
      </c>
      <c r="AI884">
        <v>7</v>
      </c>
      <c r="AJ884">
        <v>7</v>
      </c>
    </row>
    <row r="885" spans="1:36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tr">
        <v>yes</v>
      </c>
      <c r="S885" t="s">
        <v>48</v>
      </c>
      <c r="T885">
        <v>2781</v>
      </c>
      <c r="U885">
        <v>6311</v>
      </c>
      <c r="V885">
        <v>0</v>
      </c>
      <c r="W885" t="s">
        <v>42</v>
      </c>
      <c r="X885" t="s">
        <v>43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10</v>
      </c>
      <c r="AI885">
        <v>4</v>
      </c>
      <c r="AJ885">
        <v>10</v>
      </c>
    </row>
    <row r="886" spans="1:36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tr">
        <v>no</v>
      </c>
      <c r="S886" t="s">
        <v>52</v>
      </c>
      <c r="T886">
        <v>6852</v>
      </c>
      <c r="U886">
        <v>11591</v>
      </c>
      <c r="V886">
        <v>7</v>
      </c>
      <c r="W886" t="s">
        <v>42</v>
      </c>
      <c r="X886" t="s">
        <v>43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1</v>
      </c>
      <c r="AI886">
        <v>1</v>
      </c>
      <c r="AJ886">
        <v>3</v>
      </c>
    </row>
    <row r="887" spans="1:36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tr">
        <v>yes</v>
      </c>
      <c r="S887" t="s">
        <v>41</v>
      </c>
      <c r="T887">
        <v>4950</v>
      </c>
      <c r="U887">
        <v>20623</v>
      </c>
      <c r="V887">
        <v>0</v>
      </c>
      <c r="W887" t="s">
        <v>42</v>
      </c>
      <c r="X887" t="s">
        <v>43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3</v>
      </c>
      <c r="AI887">
        <v>1</v>
      </c>
      <c r="AJ887">
        <v>1</v>
      </c>
    </row>
    <row r="888" spans="1:36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tr">
        <v>no</v>
      </c>
      <c r="S888" t="s">
        <v>48</v>
      </c>
      <c r="T888">
        <v>3579</v>
      </c>
      <c r="U888">
        <v>9369</v>
      </c>
      <c r="V888">
        <v>0</v>
      </c>
      <c r="W888" t="s">
        <v>42</v>
      </c>
      <c r="X888" t="s">
        <v>35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9</v>
      </c>
      <c r="AI888">
        <v>5</v>
      </c>
      <c r="AJ888">
        <v>7</v>
      </c>
    </row>
    <row r="889" spans="1:36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tr">
        <v>no</v>
      </c>
      <c r="S889" t="s">
        <v>48</v>
      </c>
      <c r="T889">
        <v>13191</v>
      </c>
      <c r="U889">
        <v>23281</v>
      </c>
      <c r="V889">
        <v>3</v>
      </c>
      <c r="W889" t="s">
        <v>42</v>
      </c>
      <c r="X889" t="s">
        <v>35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0</v>
      </c>
      <c r="AI889">
        <v>0</v>
      </c>
      <c r="AJ889">
        <v>0</v>
      </c>
    </row>
    <row r="890" spans="1:36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tr">
        <v>yes</v>
      </c>
      <c r="S890" t="s">
        <v>48</v>
      </c>
      <c r="T890">
        <v>10377</v>
      </c>
      <c r="U890">
        <v>13755</v>
      </c>
      <c r="V890">
        <v>4</v>
      </c>
      <c r="W890" t="s">
        <v>42</v>
      </c>
      <c r="X890" t="s">
        <v>35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2</v>
      </c>
      <c r="AI890">
        <v>4</v>
      </c>
      <c r="AJ890">
        <v>12</v>
      </c>
    </row>
    <row r="891" spans="1:36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tr">
        <v>no</v>
      </c>
      <c r="S891" t="s">
        <v>48</v>
      </c>
      <c r="T891">
        <v>2235</v>
      </c>
      <c r="U891">
        <v>14377</v>
      </c>
      <c r="V891">
        <v>1</v>
      </c>
      <c r="W891" t="s">
        <v>42</v>
      </c>
      <c r="X891" t="s">
        <v>35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7</v>
      </c>
      <c r="AI891">
        <v>6</v>
      </c>
      <c r="AJ891">
        <v>8</v>
      </c>
    </row>
    <row r="892" spans="1:36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tr">
        <v>yes</v>
      </c>
      <c r="S892" t="s">
        <v>52</v>
      </c>
      <c r="T892">
        <v>10502</v>
      </c>
      <c r="U892">
        <v>9659</v>
      </c>
      <c r="V892">
        <v>7</v>
      </c>
      <c r="W892" t="s">
        <v>42</v>
      </c>
      <c r="X892" t="s">
        <v>43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4</v>
      </c>
      <c r="AI892">
        <v>1</v>
      </c>
      <c r="AJ892">
        <v>4</v>
      </c>
    </row>
    <row r="893" spans="1:36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tr">
        <v>yes</v>
      </c>
      <c r="S893" t="s">
        <v>48</v>
      </c>
      <c r="T893">
        <v>2011</v>
      </c>
      <c r="U893">
        <v>19982</v>
      </c>
      <c r="V893">
        <v>1</v>
      </c>
      <c r="W893" t="s">
        <v>42</v>
      </c>
      <c r="X893" t="s">
        <v>43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5</v>
      </c>
      <c r="AI893">
        <v>7</v>
      </c>
      <c r="AJ893">
        <v>7</v>
      </c>
    </row>
    <row r="894" spans="1:36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tr">
        <v>no</v>
      </c>
      <c r="S894" t="s">
        <v>41</v>
      </c>
      <c r="T894">
        <v>1859</v>
      </c>
      <c r="U894">
        <v>6148</v>
      </c>
      <c r="V894">
        <v>1</v>
      </c>
      <c r="W894" t="s">
        <v>42</v>
      </c>
      <c r="X894" t="s">
        <v>35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1</v>
      </c>
      <c r="AI894">
        <v>0</v>
      </c>
      <c r="AJ894">
        <v>0</v>
      </c>
    </row>
    <row r="895" spans="1:36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tr">
        <v>yes</v>
      </c>
      <c r="S895" t="s">
        <v>52</v>
      </c>
      <c r="T895">
        <v>3760</v>
      </c>
      <c r="U895">
        <v>5598</v>
      </c>
      <c r="V895">
        <v>1</v>
      </c>
      <c r="W895" t="s">
        <v>42</v>
      </c>
      <c r="X895" t="s">
        <v>43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2</v>
      </c>
      <c r="AI895">
        <v>1</v>
      </c>
      <c r="AJ895">
        <v>2</v>
      </c>
    </row>
    <row r="896" spans="1:36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tr">
        <v>yes</v>
      </c>
      <c r="S896" t="s">
        <v>48</v>
      </c>
      <c r="T896">
        <v>17779</v>
      </c>
      <c r="U896">
        <v>23474</v>
      </c>
      <c r="V896">
        <v>3</v>
      </c>
      <c r="W896" t="s">
        <v>42</v>
      </c>
      <c r="X896" t="s">
        <v>43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9</v>
      </c>
      <c r="AI896">
        <v>0</v>
      </c>
      <c r="AJ896">
        <v>9</v>
      </c>
    </row>
    <row r="897" spans="1:36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tr">
        <v>no</v>
      </c>
      <c r="S897" t="s">
        <v>48</v>
      </c>
      <c r="T897">
        <v>6833</v>
      </c>
      <c r="U897">
        <v>17089</v>
      </c>
      <c r="V897">
        <v>1</v>
      </c>
      <c r="W897" t="s">
        <v>42</v>
      </c>
      <c r="X897" t="s">
        <v>35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5</v>
      </c>
      <c r="AI897">
        <v>0</v>
      </c>
      <c r="AJ897">
        <v>1</v>
      </c>
    </row>
    <row r="898" spans="1:36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tr">
        <v>no</v>
      </c>
      <c r="S898" t="s">
        <v>41</v>
      </c>
      <c r="T898">
        <v>6812</v>
      </c>
      <c r="U898">
        <v>17198</v>
      </c>
      <c r="V898">
        <v>1</v>
      </c>
      <c r="W898" t="s">
        <v>42</v>
      </c>
      <c r="X898" t="s">
        <v>43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9</v>
      </c>
      <c r="AI898">
        <v>1</v>
      </c>
      <c r="AJ898">
        <v>8</v>
      </c>
    </row>
    <row r="899" spans="1:36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tr">
        <v>yes</v>
      </c>
      <c r="S899" t="s">
        <v>41</v>
      </c>
      <c r="T899">
        <v>5171</v>
      </c>
      <c r="U899">
        <v>16490</v>
      </c>
      <c r="V899">
        <v>5</v>
      </c>
      <c r="W899" t="s">
        <v>42</v>
      </c>
      <c r="X899" t="s">
        <v>43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1</v>
      </c>
      <c r="AI899">
        <v>0</v>
      </c>
      <c r="AJ899">
        <v>5</v>
      </c>
    </row>
    <row r="900" spans="1:36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tr">
        <v>yes</v>
      </c>
      <c r="S900" t="s">
        <v>48</v>
      </c>
      <c r="T900">
        <v>19740</v>
      </c>
      <c r="U900">
        <v>18625</v>
      </c>
      <c r="V900">
        <v>3</v>
      </c>
      <c r="W900" t="s">
        <v>42</v>
      </c>
      <c r="X900" t="s">
        <v>43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7</v>
      </c>
      <c r="AI900">
        <v>0</v>
      </c>
      <c r="AJ900">
        <v>7</v>
      </c>
    </row>
    <row r="901" spans="1:36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tr">
        <v>yes</v>
      </c>
      <c r="S901" t="s">
        <v>48</v>
      </c>
      <c r="T901">
        <v>18711</v>
      </c>
      <c r="U901">
        <v>12124</v>
      </c>
      <c r="V901">
        <v>2</v>
      </c>
      <c r="W901" t="s">
        <v>42</v>
      </c>
      <c r="X901" t="s">
        <v>43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0</v>
      </c>
      <c r="AI901">
        <v>0</v>
      </c>
      <c r="AJ901">
        <v>0</v>
      </c>
    </row>
    <row r="902" spans="1:36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tr">
        <v>no</v>
      </c>
      <c r="S902" t="s">
        <v>48</v>
      </c>
      <c r="T902">
        <v>3692</v>
      </c>
      <c r="U902">
        <v>9256</v>
      </c>
      <c r="V902">
        <v>1</v>
      </c>
      <c r="W902" t="s">
        <v>42</v>
      </c>
      <c r="X902" t="s">
        <v>43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10</v>
      </c>
      <c r="AI902">
        <v>0</v>
      </c>
      <c r="AJ902">
        <v>7</v>
      </c>
    </row>
    <row r="903" spans="1:36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tr">
        <v>no</v>
      </c>
      <c r="S903" t="s">
        <v>41</v>
      </c>
      <c r="T903">
        <v>2559</v>
      </c>
      <c r="U903">
        <v>16620</v>
      </c>
      <c r="V903">
        <v>5</v>
      </c>
      <c r="W903" t="s">
        <v>42</v>
      </c>
      <c r="X903" t="s">
        <v>43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0</v>
      </c>
      <c r="AI903">
        <v>0</v>
      </c>
      <c r="AJ903">
        <v>0</v>
      </c>
    </row>
    <row r="904" spans="1:36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tr">
        <v>yes</v>
      </c>
      <c r="S904" t="s">
        <v>52</v>
      </c>
      <c r="T904">
        <v>2517</v>
      </c>
      <c r="U904">
        <v>3208</v>
      </c>
      <c r="V904">
        <v>1</v>
      </c>
      <c r="W904" t="s">
        <v>42</v>
      </c>
      <c r="X904" t="s">
        <v>43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3</v>
      </c>
      <c r="AI904">
        <v>0</v>
      </c>
      <c r="AJ904">
        <v>3</v>
      </c>
    </row>
    <row r="905" spans="1:36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tr">
        <v>yes</v>
      </c>
      <c r="S905" t="s">
        <v>52</v>
      </c>
      <c r="T905">
        <v>6623</v>
      </c>
      <c r="U905">
        <v>4204</v>
      </c>
      <c r="V905">
        <v>1</v>
      </c>
      <c r="W905" t="s">
        <v>42</v>
      </c>
      <c r="X905" t="s">
        <v>35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1</v>
      </c>
      <c r="AJ905">
        <v>0</v>
      </c>
    </row>
    <row r="906" spans="1:36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tr">
        <v>yes</v>
      </c>
      <c r="S906" t="s">
        <v>41</v>
      </c>
      <c r="T906">
        <v>18265</v>
      </c>
      <c r="U906">
        <v>8733</v>
      </c>
      <c r="V906">
        <v>6</v>
      </c>
      <c r="W906" t="s">
        <v>42</v>
      </c>
      <c r="X906" t="s">
        <v>43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0</v>
      </c>
      <c r="AI906">
        <v>0</v>
      </c>
      <c r="AJ906">
        <v>0</v>
      </c>
    </row>
    <row r="907" spans="1:36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tr">
        <v>yes</v>
      </c>
      <c r="S907" t="s">
        <v>52</v>
      </c>
      <c r="T907">
        <v>16124</v>
      </c>
      <c r="U907">
        <v>3423</v>
      </c>
      <c r="V907">
        <v>3</v>
      </c>
      <c r="W907" t="s">
        <v>42</v>
      </c>
      <c r="X907" t="s">
        <v>43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7</v>
      </c>
      <c r="AI907">
        <v>1</v>
      </c>
      <c r="AJ907">
        <v>7</v>
      </c>
    </row>
    <row r="908" spans="1:36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tr">
        <v>yes</v>
      </c>
      <c r="S908" t="s">
        <v>48</v>
      </c>
      <c r="T908">
        <v>2585</v>
      </c>
      <c r="U908">
        <v>21643</v>
      </c>
      <c r="V908">
        <v>0</v>
      </c>
      <c r="W908" t="s">
        <v>42</v>
      </c>
      <c r="X908" t="s">
        <v>43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0</v>
      </c>
      <c r="AI908">
        <v>0</v>
      </c>
      <c r="AJ908">
        <v>0</v>
      </c>
    </row>
    <row r="909" spans="1:36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tr">
        <v>no</v>
      </c>
      <c r="S909" t="s">
        <v>48</v>
      </c>
      <c r="T909">
        <v>18213</v>
      </c>
      <c r="U909">
        <v>8751</v>
      </c>
      <c r="V909">
        <v>7</v>
      </c>
      <c r="W909" t="s">
        <v>42</v>
      </c>
      <c r="X909" t="s">
        <v>43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9</v>
      </c>
      <c r="AI909">
        <v>3</v>
      </c>
      <c r="AJ909">
        <v>10</v>
      </c>
    </row>
    <row r="910" spans="1:36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tr">
        <v>yes</v>
      </c>
      <c r="S910" t="s">
        <v>52</v>
      </c>
      <c r="T910">
        <v>8380</v>
      </c>
      <c r="U910">
        <v>21708</v>
      </c>
      <c r="V910">
        <v>0</v>
      </c>
      <c r="W910" t="s">
        <v>42</v>
      </c>
      <c r="X910" t="s">
        <v>35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8</v>
      </c>
      <c r="AI910">
        <v>0</v>
      </c>
      <c r="AJ910">
        <v>8</v>
      </c>
    </row>
    <row r="911" spans="1:36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tr">
        <v>yes</v>
      </c>
      <c r="S911" t="s">
        <v>41</v>
      </c>
      <c r="T911">
        <v>2994</v>
      </c>
      <c r="U911">
        <v>21221</v>
      </c>
      <c r="V911">
        <v>1</v>
      </c>
      <c r="W911" t="s">
        <v>42</v>
      </c>
      <c r="X911" t="s">
        <v>35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1</v>
      </c>
    </row>
    <row r="912" spans="1:36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tr">
        <v>yes</v>
      </c>
      <c r="S912" t="s">
        <v>48</v>
      </c>
      <c r="T912">
        <v>1223</v>
      </c>
      <c r="U912">
        <v>16901</v>
      </c>
      <c r="V912">
        <v>1</v>
      </c>
      <c r="W912" t="s">
        <v>42</v>
      </c>
      <c r="X912" t="s">
        <v>43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1</v>
      </c>
    </row>
    <row r="913" spans="1:36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tr">
        <v>yes</v>
      </c>
      <c r="S913" t="s">
        <v>41</v>
      </c>
      <c r="T913">
        <v>1118</v>
      </c>
      <c r="U913">
        <v>8040</v>
      </c>
      <c r="V913">
        <v>1</v>
      </c>
      <c r="W913" t="s">
        <v>42</v>
      </c>
      <c r="X913" t="s">
        <v>35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1</v>
      </c>
      <c r="AJ913">
        <v>0</v>
      </c>
    </row>
    <row r="914" spans="1:36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tr">
        <v>yes</v>
      </c>
      <c r="S914" t="s">
        <v>41</v>
      </c>
      <c r="T914">
        <v>2875</v>
      </c>
      <c r="U914">
        <v>9973</v>
      </c>
      <c r="V914">
        <v>1</v>
      </c>
      <c r="W914" t="s">
        <v>42</v>
      </c>
      <c r="X914" t="s">
        <v>35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5</v>
      </c>
      <c r="AI914">
        <v>2</v>
      </c>
      <c r="AJ914">
        <v>2</v>
      </c>
    </row>
    <row r="915" spans="1:36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tr">
        <v>no</v>
      </c>
      <c r="S915" t="s">
        <v>41</v>
      </c>
      <c r="T915">
        <v>18824</v>
      </c>
      <c r="U915">
        <v>2493</v>
      </c>
      <c r="V915">
        <v>2</v>
      </c>
      <c r="W915" t="s">
        <v>42</v>
      </c>
      <c r="X915" t="s">
        <v>35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10</v>
      </c>
      <c r="AI915">
        <v>1</v>
      </c>
      <c r="AJ915">
        <v>11</v>
      </c>
    </row>
    <row r="916" spans="1:36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tr">
        <v>no</v>
      </c>
      <c r="S916" t="s">
        <v>52</v>
      </c>
      <c r="T916">
        <v>13577</v>
      </c>
      <c r="U916">
        <v>25592</v>
      </c>
      <c r="V916">
        <v>1</v>
      </c>
      <c r="W916" t="s">
        <v>42</v>
      </c>
      <c r="X916" t="s">
        <v>35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9</v>
      </c>
      <c r="AI916">
        <v>15</v>
      </c>
      <c r="AJ916">
        <v>0</v>
      </c>
    </row>
    <row r="917" spans="1:36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tr">
        <v>yes</v>
      </c>
      <c r="S917" t="s">
        <v>41</v>
      </c>
      <c r="T917">
        <v>2625</v>
      </c>
      <c r="U917">
        <v>25308</v>
      </c>
      <c r="V917">
        <v>1</v>
      </c>
      <c r="W917" t="s">
        <v>42</v>
      </c>
      <c r="X917" t="s">
        <v>43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2</v>
      </c>
      <c r="AI917">
        <v>2</v>
      </c>
      <c r="AJ917">
        <v>2</v>
      </c>
    </row>
    <row r="918" spans="1:36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tr">
        <v>no</v>
      </c>
      <c r="S918" t="s">
        <v>48</v>
      </c>
      <c r="T918">
        <v>18789</v>
      </c>
      <c r="U918">
        <v>9946</v>
      </c>
      <c r="V918">
        <v>2</v>
      </c>
      <c r="W918" t="s">
        <v>42</v>
      </c>
      <c r="X918" t="s">
        <v>43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4</v>
      </c>
      <c r="AI918">
        <v>0</v>
      </c>
      <c r="AJ918">
        <v>8</v>
      </c>
    </row>
    <row r="919" spans="1:36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tr">
        <v>no</v>
      </c>
      <c r="S919" t="s">
        <v>41</v>
      </c>
      <c r="T919">
        <v>4538</v>
      </c>
      <c r="U919">
        <v>6039</v>
      </c>
      <c r="V919">
        <v>0</v>
      </c>
      <c r="W919" t="s">
        <v>42</v>
      </c>
      <c r="X919" t="s">
        <v>35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2</v>
      </c>
      <c r="AI919">
        <v>0</v>
      </c>
      <c r="AJ919">
        <v>2</v>
      </c>
    </row>
    <row r="920" spans="1:36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tr">
        <v>no</v>
      </c>
      <c r="S920" t="s">
        <v>52</v>
      </c>
      <c r="T920">
        <v>19847</v>
      </c>
      <c r="U920">
        <v>19196</v>
      </c>
      <c r="V920">
        <v>4</v>
      </c>
      <c r="W920" t="s">
        <v>42</v>
      </c>
      <c r="X920" t="s">
        <v>35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10</v>
      </c>
      <c r="AI920">
        <v>11</v>
      </c>
      <c r="AJ920">
        <v>10</v>
      </c>
    </row>
    <row r="921" spans="1:36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tr">
        <v>yes</v>
      </c>
      <c r="S921" t="s">
        <v>41</v>
      </c>
      <c r="T921">
        <v>10512</v>
      </c>
      <c r="U921">
        <v>20002</v>
      </c>
      <c r="V921">
        <v>6</v>
      </c>
      <c r="W921" t="s">
        <v>42</v>
      </c>
      <c r="X921" t="s">
        <v>43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7</v>
      </c>
      <c r="AI921">
        <v>5</v>
      </c>
      <c r="AJ921">
        <v>4</v>
      </c>
    </row>
    <row r="922" spans="1:36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tr">
        <v>no</v>
      </c>
      <c r="S922" t="s">
        <v>52</v>
      </c>
      <c r="T922">
        <v>4444</v>
      </c>
      <c r="U922">
        <v>22534</v>
      </c>
      <c r="V922">
        <v>4</v>
      </c>
      <c r="W922" t="s">
        <v>42</v>
      </c>
      <c r="X922" t="s">
        <v>43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8</v>
      </c>
      <c r="AI922">
        <v>5</v>
      </c>
      <c r="AJ922">
        <v>10</v>
      </c>
    </row>
    <row r="923" spans="1:36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tr">
        <v>yes</v>
      </c>
      <c r="S923" t="s">
        <v>41</v>
      </c>
      <c r="T923">
        <v>2154</v>
      </c>
      <c r="U923">
        <v>6842</v>
      </c>
      <c r="V923">
        <v>0</v>
      </c>
      <c r="W923" t="s">
        <v>42</v>
      </c>
      <c r="X923" t="s">
        <v>35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2</v>
      </c>
      <c r="AI923">
        <v>0</v>
      </c>
      <c r="AJ923">
        <v>2</v>
      </c>
    </row>
    <row r="924" spans="1:36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tr">
        <v>no</v>
      </c>
      <c r="S924" t="s">
        <v>52</v>
      </c>
      <c r="T924">
        <v>19190</v>
      </c>
      <c r="U924">
        <v>17477</v>
      </c>
      <c r="V924">
        <v>1</v>
      </c>
      <c r="W924" t="s">
        <v>42</v>
      </c>
      <c r="X924" t="s">
        <v>43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9</v>
      </c>
      <c r="AI924">
        <v>14</v>
      </c>
      <c r="AJ924">
        <v>13</v>
      </c>
    </row>
    <row r="925" spans="1:36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tr">
        <v>no</v>
      </c>
      <c r="S925" t="s">
        <v>48</v>
      </c>
      <c r="T925">
        <v>4490</v>
      </c>
      <c r="U925">
        <v>21833</v>
      </c>
      <c r="V925">
        <v>4</v>
      </c>
      <c r="W925" t="s">
        <v>42</v>
      </c>
      <c r="X925" t="s">
        <v>43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9</v>
      </c>
      <c r="AI925">
        <v>1</v>
      </c>
      <c r="AJ925">
        <v>8</v>
      </c>
    </row>
    <row r="926" spans="1:36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tr">
        <v>yes</v>
      </c>
      <c r="S926" t="s">
        <v>48</v>
      </c>
      <c r="T926">
        <v>3506</v>
      </c>
      <c r="U926">
        <v>6020</v>
      </c>
      <c r="V926">
        <v>0</v>
      </c>
      <c r="W926" t="s">
        <v>42</v>
      </c>
      <c r="X926" t="s">
        <v>35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2</v>
      </c>
      <c r="AI926">
        <v>2</v>
      </c>
      <c r="AJ926">
        <v>2</v>
      </c>
    </row>
    <row r="927" spans="1:36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tr">
        <v>no</v>
      </c>
      <c r="S927" t="s">
        <v>48</v>
      </c>
      <c r="T927">
        <v>2372</v>
      </c>
      <c r="U927">
        <v>5628</v>
      </c>
      <c r="V927">
        <v>6</v>
      </c>
      <c r="W927" t="s">
        <v>42</v>
      </c>
      <c r="X927" t="s">
        <v>35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0</v>
      </c>
      <c r="AI927">
        <v>0</v>
      </c>
      <c r="AJ927">
        <v>0</v>
      </c>
    </row>
    <row r="928" spans="1:36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tr">
        <v>yes</v>
      </c>
      <c r="S928" t="s">
        <v>41</v>
      </c>
      <c r="T928">
        <v>10231</v>
      </c>
      <c r="U928">
        <v>20364</v>
      </c>
      <c r="V928">
        <v>3</v>
      </c>
      <c r="W928" t="s">
        <v>42</v>
      </c>
      <c r="X928" t="s">
        <v>43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7</v>
      </c>
      <c r="AI928">
        <v>15</v>
      </c>
      <c r="AJ928">
        <v>17</v>
      </c>
    </row>
    <row r="929" spans="1:36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tr">
        <v>no</v>
      </c>
      <c r="S929" t="s">
        <v>41</v>
      </c>
      <c r="T929">
        <v>5410</v>
      </c>
      <c r="U929">
        <v>2323</v>
      </c>
      <c r="V929">
        <v>9</v>
      </c>
      <c r="W929" t="s">
        <v>42</v>
      </c>
      <c r="X929" t="s">
        <v>35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14</v>
      </c>
      <c r="AI929">
        <v>5</v>
      </c>
      <c r="AJ929">
        <v>12</v>
      </c>
    </row>
    <row r="930" spans="1:36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tr">
        <v>yes</v>
      </c>
      <c r="S930" t="s">
        <v>48</v>
      </c>
      <c r="T930">
        <v>7978</v>
      </c>
      <c r="U930">
        <v>14075</v>
      </c>
      <c r="V930">
        <v>1</v>
      </c>
      <c r="W930" t="s">
        <v>42</v>
      </c>
      <c r="X930" t="s">
        <v>43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7</v>
      </c>
      <c r="AI930">
        <v>0</v>
      </c>
      <c r="AJ930">
        <v>5</v>
      </c>
    </row>
    <row r="931" spans="1:36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tr">
        <v>yes</v>
      </c>
      <c r="S931" t="s">
        <v>48</v>
      </c>
      <c r="T931">
        <v>3867</v>
      </c>
      <c r="U931">
        <v>14222</v>
      </c>
      <c r="V931">
        <v>1</v>
      </c>
      <c r="W931" t="s">
        <v>42</v>
      </c>
      <c r="X931" t="s">
        <v>35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2</v>
      </c>
      <c r="AI931">
        <v>2</v>
      </c>
      <c r="AJ931">
        <v>2</v>
      </c>
    </row>
    <row r="932" spans="1:36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tr">
        <v>yes</v>
      </c>
      <c r="S932" t="s">
        <v>41</v>
      </c>
      <c r="T932">
        <v>2838</v>
      </c>
      <c r="U932">
        <v>4257</v>
      </c>
      <c r="V932">
        <v>0</v>
      </c>
      <c r="W932" t="s">
        <v>42</v>
      </c>
      <c r="X932" t="s">
        <v>43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0</v>
      </c>
      <c r="AI932">
        <v>7</v>
      </c>
      <c r="AJ932">
        <v>7</v>
      </c>
    </row>
    <row r="933" spans="1:36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tr">
        <v>yes</v>
      </c>
      <c r="S933" t="s">
        <v>41</v>
      </c>
      <c r="T933">
        <v>4695</v>
      </c>
      <c r="U933">
        <v>12858</v>
      </c>
      <c r="V933">
        <v>7</v>
      </c>
      <c r="W933" t="s">
        <v>42</v>
      </c>
      <c r="X933" t="s">
        <v>35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4</v>
      </c>
      <c r="AI933">
        <v>1</v>
      </c>
      <c r="AJ933">
        <v>7</v>
      </c>
    </row>
    <row r="934" spans="1:36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tr">
        <v>yes</v>
      </c>
      <c r="S934" t="s">
        <v>52</v>
      </c>
      <c r="T934">
        <v>3339</v>
      </c>
      <c r="U934">
        <v>17285</v>
      </c>
      <c r="V934">
        <v>3</v>
      </c>
      <c r="W934" t="s">
        <v>42</v>
      </c>
      <c r="X934" t="s">
        <v>35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7</v>
      </c>
      <c r="AI934">
        <v>7</v>
      </c>
      <c r="AJ934">
        <v>7</v>
      </c>
    </row>
    <row r="935" spans="1:36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tr">
        <v>no</v>
      </c>
      <c r="S935" t="s">
        <v>41</v>
      </c>
      <c r="T935">
        <v>2080</v>
      </c>
      <c r="U935">
        <v>4732</v>
      </c>
      <c r="V935">
        <v>2</v>
      </c>
      <c r="W935" t="s">
        <v>42</v>
      </c>
      <c r="X935" t="s">
        <v>43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1</v>
      </c>
      <c r="AJ935">
        <v>2</v>
      </c>
    </row>
    <row r="936" spans="1:36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tr">
        <v>no</v>
      </c>
      <c r="S936" t="s">
        <v>41</v>
      </c>
      <c r="T936">
        <v>2096</v>
      </c>
      <c r="U936">
        <v>18830</v>
      </c>
      <c r="V936">
        <v>1</v>
      </c>
      <c r="W936" t="s">
        <v>42</v>
      </c>
      <c r="X936" t="s">
        <v>43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2</v>
      </c>
      <c r="AI936">
        <v>2</v>
      </c>
      <c r="AJ936">
        <v>1</v>
      </c>
    </row>
    <row r="937" spans="1:36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tr">
        <v>yes</v>
      </c>
      <c r="S937" t="s">
        <v>48</v>
      </c>
      <c r="T937">
        <v>6209</v>
      </c>
      <c r="U937">
        <v>11693</v>
      </c>
      <c r="V937">
        <v>1</v>
      </c>
      <c r="W937" t="s">
        <v>42</v>
      </c>
      <c r="X937" t="s">
        <v>43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7</v>
      </c>
      <c r="AI937">
        <v>0</v>
      </c>
      <c r="AJ937">
        <v>8</v>
      </c>
    </row>
    <row r="938" spans="1:36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tr">
        <v>no</v>
      </c>
      <c r="S938" t="s">
        <v>41</v>
      </c>
      <c r="T938">
        <v>18061</v>
      </c>
      <c r="U938">
        <v>13035</v>
      </c>
      <c r="V938">
        <v>3</v>
      </c>
      <c r="W938" t="s">
        <v>42</v>
      </c>
      <c r="X938" t="s">
        <v>43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0</v>
      </c>
      <c r="AI938">
        <v>0</v>
      </c>
      <c r="AJ938">
        <v>0</v>
      </c>
    </row>
    <row r="939" spans="1:36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tr">
        <v>no</v>
      </c>
      <c r="S939" t="s">
        <v>52</v>
      </c>
      <c r="T939">
        <v>17123</v>
      </c>
      <c r="U939">
        <v>17334</v>
      </c>
      <c r="V939">
        <v>6</v>
      </c>
      <c r="W939" t="s">
        <v>42</v>
      </c>
      <c r="X939" t="s">
        <v>35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9</v>
      </c>
      <c r="AI939">
        <v>15</v>
      </c>
      <c r="AJ939">
        <v>2</v>
      </c>
    </row>
    <row r="940" spans="1:36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tr">
        <v>yes</v>
      </c>
      <c r="S940" t="s">
        <v>52</v>
      </c>
      <c r="T940">
        <v>2372</v>
      </c>
      <c r="U940">
        <v>26076</v>
      </c>
      <c r="V940">
        <v>1</v>
      </c>
      <c r="W940" t="s">
        <v>42</v>
      </c>
      <c r="X940" t="s">
        <v>43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2</v>
      </c>
      <c r="AI940">
        <v>2</v>
      </c>
      <c r="AJ940">
        <v>2</v>
      </c>
    </row>
    <row r="941" spans="1:36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tr">
        <v>yes</v>
      </c>
      <c r="S941" t="s">
        <v>48</v>
      </c>
      <c r="T941">
        <v>4883</v>
      </c>
      <c r="U941">
        <v>22845</v>
      </c>
      <c r="V941">
        <v>1</v>
      </c>
      <c r="W941" t="s">
        <v>42</v>
      </c>
      <c r="X941" t="s">
        <v>43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4</v>
      </c>
      <c r="AI941">
        <v>1</v>
      </c>
      <c r="AJ941">
        <v>1</v>
      </c>
    </row>
    <row r="942" spans="1:36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tr">
        <v>no</v>
      </c>
      <c r="S942" t="s">
        <v>41</v>
      </c>
      <c r="T942">
        <v>3904</v>
      </c>
      <c r="U942">
        <v>22154</v>
      </c>
      <c r="V942">
        <v>0</v>
      </c>
      <c r="W942" t="s">
        <v>42</v>
      </c>
      <c r="X942" t="s">
        <v>43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2</v>
      </c>
      <c r="AI942">
        <v>0</v>
      </c>
      <c r="AJ942">
        <v>3</v>
      </c>
    </row>
    <row r="943" spans="1:36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tr">
        <v>yes</v>
      </c>
      <c r="S943" t="s">
        <v>48</v>
      </c>
      <c r="T943">
        <v>4627</v>
      </c>
      <c r="U943">
        <v>23631</v>
      </c>
      <c r="V943">
        <v>0</v>
      </c>
      <c r="W943" t="s">
        <v>42</v>
      </c>
      <c r="X943" t="s">
        <v>43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2</v>
      </c>
      <c r="AI943">
        <v>6</v>
      </c>
      <c r="AJ943">
        <v>7</v>
      </c>
    </row>
    <row r="944" spans="1:36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tr">
        <v>yes</v>
      </c>
      <c r="S944" t="s">
        <v>48</v>
      </c>
      <c r="T944">
        <v>7094</v>
      </c>
      <c r="U944">
        <v>5747</v>
      </c>
      <c r="V944">
        <v>3</v>
      </c>
      <c r="W944" t="s">
        <v>42</v>
      </c>
      <c r="X944" t="s">
        <v>43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7</v>
      </c>
      <c r="AI944">
        <v>1</v>
      </c>
      <c r="AJ944">
        <v>7</v>
      </c>
    </row>
    <row r="945" spans="1:36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tr">
        <v>no</v>
      </c>
      <c r="S945" t="s">
        <v>41</v>
      </c>
      <c r="T945">
        <v>3423</v>
      </c>
      <c r="U945">
        <v>22957</v>
      </c>
      <c r="V945">
        <v>6</v>
      </c>
      <c r="W945" t="s">
        <v>42</v>
      </c>
      <c r="X945" t="s">
        <v>43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6</v>
      </c>
      <c r="AI945">
        <v>5</v>
      </c>
      <c r="AJ945">
        <v>7</v>
      </c>
    </row>
    <row r="946" spans="1:36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tr">
        <v>yes</v>
      </c>
      <c r="S946" t="s">
        <v>48</v>
      </c>
      <c r="T946">
        <v>6674</v>
      </c>
      <c r="U946">
        <v>16392</v>
      </c>
      <c r="V946">
        <v>0</v>
      </c>
      <c r="W946" t="s">
        <v>42</v>
      </c>
      <c r="X946" t="s">
        <v>43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8</v>
      </c>
      <c r="AI946">
        <v>7</v>
      </c>
      <c r="AJ946">
        <v>5</v>
      </c>
    </row>
    <row r="947" spans="1:36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tr">
        <v>no</v>
      </c>
      <c r="S947" t="s">
        <v>48</v>
      </c>
      <c r="T947">
        <v>16880</v>
      </c>
      <c r="U947">
        <v>22422</v>
      </c>
      <c r="V947">
        <v>4</v>
      </c>
      <c r="W947" t="s">
        <v>42</v>
      </c>
      <c r="X947" t="s">
        <v>35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</v>
      </c>
      <c r="AI947">
        <v>1</v>
      </c>
      <c r="AJ947">
        <v>2</v>
      </c>
    </row>
    <row r="948" spans="1:36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tr">
        <v>no</v>
      </c>
      <c r="S948" t="s">
        <v>41</v>
      </c>
      <c r="T948">
        <v>9094</v>
      </c>
      <c r="U948">
        <v>17235</v>
      </c>
      <c r="V948">
        <v>2</v>
      </c>
      <c r="W948" t="s">
        <v>42</v>
      </c>
      <c r="X948" t="s">
        <v>35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1</v>
      </c>
      <c r="AJ948">
        <v>0</v>
      </c>
    </row>
    <row r="949" spans="1:36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tr">
        <v>no</v>
      </c>
      <c r="S949" t="s">
        <v>41</v>
      </c>
      <c r="T949">
        <v>8446</v>
      </c>
      <c r="U949">
        <v>21534</v>
      </c>
      <c r="V949">
        <v>9</v>
      </c>
      <c r="W949" t="s">
        <v>42</v>
      </c>
      <c r="X949" t="s">
        <v>35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7</v>
      </c>
      <c r="AI949">
        <v>7</v>
      </c>
      <c r="AJ949">
        <v>7</v>
      </c>
    </row>
    <row r="950" spans="1:36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tr">
        <v>no</v>
      </c>
      <c r="S950" t="s">
        <v>48</v>
      </c>
      <c r="T950">
        <v>11916</v>
      </c>
      <c r="U950">
        <v>25927</v>
      </c>
      <c r="V950">
        <v>1</v>
      </c>
      <c r="W950" t="s">
        <v>42</v>
      </c>
      <c r="X950" t="s">
        <v>35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1</v>
      </c>
      <c r="AI950">
        <v>0</v>
      </c>
      <c r="AJ950">
        <v>8</v>
      </c>
    </row>
    <row r="951" spans="1:36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tr">
        <v>yes</v>
      </c>
      <c r="S951" t="s">
        <v>41</v>
      </c>
      <c r="T951">
        <v>4534</v>
      </c>
      <c r="U951">
        <v>13352</v>
      </c>
      <c r="V951">
        <v>0</v>
      </c>
      <c r="W951" t="s">
        <v>42</v>
      </c>
      <c r="X951" t="s">
        <v>43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7</v>
      </c>
      <c r="AI951">
        <v>1</v>
      </c>
      <c r="AJ951">
        <v>7</v>
      </c>
    </row>
    <row r="952" spans="1:36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tr">
        <v>yes</v>
      </c>
      <c r="S952" t="s">
        <v>52</v>
      </c>
      <c r="T952">
        <v>9852</v>
      </c>
      <c r="U952">
        <v>8935</v>
      </c>
      <c r="V952">
        <v>1</v>
      </c>
      <c r="W952" t="s">
        <v>42</v>
      </c>
      <c r="X952" t="s">
        <v>35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8</v>
      </c>
      <c r="AI952">
        <v>9</v>
      </c>
      <c r="AJ952">
        <v>6</v>
      </c>
    </row>
    <row r="953" spans="1:36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tr">
        <v>no</v>
      </c>
      <c r="S953" t="s">
        <v>41</v>
      </c>
      <c r="T953">
        <v>6151</v>
      </c>
      <c r="U953">
        <v>22074</v>
      </c>
      <c r="V953">
        <v>1</v>
      </c>
      <c r="W953" t="s">
        <v>42</v>
      </c>
      <c r="X953" t="s">
        <v>43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2</v>
      </c>
      <c r="AI953">
        <v>11</v>
      </c>
      <c r="AJ953">
        <v>9</v>
      </c>
    </row>
    <row r="954" spans="1:36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tr">
        <v>no</v>
      </c>
      <c r="S954" t="s">
        <v>41</v>
      </c>
      <c r="T954">
        <v>2302</v>
      </c>
      <c r="U954">
        <v>8319</v>
      </c>
      <c r="V954">
        <v>1</v>
      </c>
      <c r="W954" t="s">
        <v>42</v>
      </c>
      <c r="X954" t="s">
        <v>35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2</v>
      </c>
      <c r="AI954">
        <v>2</v>
      </c>
      <c r="AJ954">
        <v>2</v>
      </c>
    </row>
    <row r="955" spans="1:36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tr">
        <v>no</v>
      </c>
      <c r="S955" t="s">
        <v>48</v>
      </c>
      <c r="T955">
        <v>2362</v>
      </c>
      <c r="U955">
        <v>14669</v>
      </c>
      <c r="V955">
        <v>4</v>
      </c>
      <c r="W955" t="s">
        <v>42</v>
      </c>
      <c r="X955" t="s">
        <v>43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2</v>
      </c>
      <c r="AI955">
        <v>1</v>
      </c>
      <c r="AJ955">
        <v>2</v>
      </c>
    </row>
    <row r="956" spans="1:36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tr">
        <v>yes</v>
      </c>
      <c r="S956" t="s">
        <v>48</v>
      </c>
      <c r="T956">
        <v>17861</v>
      </c>
      <c r="U956">
        <v>26582</v>
      </c>
      <c r="V956">
        <v>0</v>
      </c>
      <c r="W956" t="s">
        <v>42</v>
      </c>
      <c r="X956" t="s">
        <v>35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8</v>
      </c>
      <c r="AI956">
        <v>2</v>
      </c>
      <c r="AJ956">
        <v>10</v>
      </c>
    </row>
    <row r="957" spans="1:36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tr">
        <v>yes</v>
      </c>
      <c r="S957" t="s">
        <v>48</v>
      </c>
      <c r="T957">
        <v>19187</v>
      </c>
      <c r="U957">
        <v>6992</v>
      </c>
      <c r="V957">
        <v>4</v>
      </c>
      <c r="W957" t="s">
        <v>42</v>
      </c>
      <c r="X957" t="s">
        <v>43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9</v>
      </c>
      <c r="AI957">
        <v>9</v>
      </c>
      <c r="AJ957">
        <v>11</v>
      </c>
    </row>
    <row r="958" spans="1:36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tr">
        <v>no</v>
      </c>
      <c r="S958" t="s">
        <v>41</v>
      </c>
      <c r="T958">
        <v>19717</v>
      </c>
      <c r="U958">
        <v>4022</v>
      </c>
      <c r="V958">
        <v>6</v>
      </c>
      <c r="W958" t="s">
        <v>42</v>
      </c>
      <c r="X958" t="s">
        <v>43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3</v>
      </c>
      <c r="AI958">
        <v>7</v>
      </c>
      <c r="AJ958">
        <v>7</v>
      </c>
    </row>
    <row r="959" spans="1:36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tr">
        <v>yes</v>
      </c>
      <c r="S959" t="s">
        <v>52</v>
      </c>
      <c r="T959">
        <v>3544</v>
      </c>
      <c r="U959">
        <v>8532</v>
      </c>
      <c r="V959">
        <v>9</v>
      </c>
      <c r="W959" t="s">
        <v>42</v>
      </c>
      <c r="X959" t="s">
        <v>43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0</v>
      </c>
      <c r="AJ959">
        <v>0</v>
      </c>
    </row>
    <row r="960" spans="1:36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tr">
        <v>yes</v>
      </c>
      <c r="S960" t="s">
        <v>52</v>
      </c>
      <c r="T960">
        <v>8500</v>
      </c>
      <c r="U960">
        <v>5494</v>
      </c>
      <c r="V960">
        <v>0</v>
      </c>
      <c r="W960" t="s">
        <v>42</v>
      </c>
      <c r="X960" t="s">
        <v>43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7</v>
      </c>
      <c r="AI960">
        <v>1</v>
      </c>
      <c r="AJ960">
        <v>6</v>
      </c>
    </row>
    <row r="961" spans="1:36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tr">
        <v>yes</v>
      </c>
      <c r="S961" t="s">
        <v>41</v>
      </c>
      <c r="T961">
        <v>4661</v>
      </c>
      <c r="U961">
        <v>22455</v>
      </c>
      <c r="V961">
        <v>1</v>
      </c>
      <c r="W961" t="s">
        <v>42</v>
      </c>
      <c r="X961" t="s">
        <v>43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8</v>
      </c>
      <c r="AI961">
        <v>8</v>
      </c>
      <c r="AJ961">
        <v>8</v>
      </c>
    </row>
    <row r="962" spans="1:36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tr">
        <v>no</v>
      </c>
      <c r="S962" t="s">
        <v>52</v>
      </c>
      <c r="T962">
        <v>4103</v>
      </c>
      <c r="U962">
        <v>4297</v>
      </c>
      <c r="V962">
        <v>0</v>
      </c>
      <c r="W962" t="s">
        <v>42</v>
      </c>
      <c r="X962" t="s">
        <v>43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3</v>
      </c>
      <c r="AI962">
        <v>1</v>
      </c>
      <c r="AJ962">
        <v>7</v>
      </c>
    </row>
    <row r="963" spans="1:36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tr">
        <v>yes</v>
      </c>
      <c r="S963" t="s">
        <v>41</v>
      </c>
      <c r="T963">
        <v>4249</v>
      </c>
      <c r="U963">
        <v>2690</v>
      </c>
      <c r="V963">
        <v>1</v>
      </c>
      <c r="W963" t="s">
        <v>42</v>
      </c>
      <c r="X963" t="s">
        <v>35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6</v>
      </c>
      <c r="AI963">
        <v>1</v>
      </c>
      <c r="AJ963">
        <v>1</v>
      </c>
    </row>
    <row r="964" spans="1:36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tr">
        <v>no</v>
      </c>
      <c r="S964" t="s">
        <v>52</v>
      </c>
      <c r="T964">
        <v>14026</v>
      </c>
      <c r="U964">
        <v>17588</v>
      </c>
      <c r="V964">
        <v>1</v>
      </c>
      <c r="W964" t="s">
        <v>42</v>
      </c>
      <c r="X964" t="s">
        <v>35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9</v>
      </c>
      <c r="AI964">
        <v>0</v>
      </c>
      <c r="AJ964">
        <v>10</v>
      </c>
    </row>
    <row r="965" spans="1:36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tr">
        <v>no</v>
      </c>
      <c r="S965" t="s">
        <v>52</v>
      </c>
      <c r="T965">
        <v>6893</v>
      </c>
      <c r="U965">
        <v>19461</v>
      </c>
      <c r="V965">
        <v>3</v>
      </c>
      <c r="W965" t="s">
        <v>42</v>
      </c>
      <c r="X965" t="s">
        <v>43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7</v>
      </c>
      <c r="AI965">
        <v>1</v>
      </c>
      <c r="AJ965">
        <v>7</v>
      </c>
    </row>
    <row r="966" spans="1:36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tr">
        <v>no</v>
      </c>
      <c r="S966" t="s">
        <v>41</v>
      </c>
      <c r="T966">
        <v>6125</v>
      </c>
      <c r="U966">
        <v>23553</v>
      </c>
      <c r="V966">
        <v>1</v>
      </c>
      <c r="W966" t="s">
        <v>42</v>
      </c>
      <c r="X966" t="s">
        <v>43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8</v>
      </c>
      <c r="AI966">
        <v>9</v>
      </c>
      <c r="AJ966">
        <v>6</v>
      </c>
    </row>
    <row r="967" spans="1:36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tr">
        <v>yes</v>
      </c>
      <c r="S967" t="s">
        <v>48</v>
      </c>
      <c r="T967">
        <v>3669</v>
      </c>
      <c r="U967">
        <v>9075</v>
      </c>
      <c r="V967">
        <v>3</v>
      </c>
      <c r="W967" t="s">
        <v>42</v>
      </c>
      <c r="X967" t="s">
        <v>43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2</v>
      </c>
      <c r="AI967">
        <v>1</v>
      </c>
      <c r="AJ967">
        <v>2</v>
      </c>
    </row>
    <row r="968" spans="1:36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tr">
        <v>no</v>
      </c>
      <c r="S968" t="s">
        <v>48</v>
      </c>
      <c r="T968">
        <v>10008</v>
      </c>
      <c r="U968">
        <v>12023</v>
      </c>
      <c r="V968">
        <v>7</v>
      </c>
      <c r="W968" t="s">
        <v>42</v>
      </c>
      <c r="X968" t="s">
        <v>35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9</v>
      </c>
      <c r="AI968">
        <v>5</v>
      </c>
      <c r="AJ968">
        <v>9</v>
      </c>
    </row>
    <row r="969" spans="1:36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tr">
        <v>no</v>
      </c>
      <c r="S969" t="s">
        <v>48</v>
      </c>
      <c r="T969">
        <v>2387</v>
      </c>
      <c r="U969">
        <v>6762</v>
      </c>
      <c r="V969">
        <v>3</v>
      </c>
      <c r="W969" t="s">
        <v>42</v>
      </c>
      <c r="X969" t="s">
        <v>43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2</v>
      </c>
      <c r="AI969">
        <v>0</v>
      </c>
      <c r="AJ969">
        <v>3</v>
      </c>
    </row>
    <row r="970" spans="1:36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tr">
        <v>no</v>
      </c>
      <c r="S970" t="s">
        <v>48</v>
      </c>
      <c r="T970">
        <v>4639</v>
      </c>
      <c r="U970">
        <v>2261</v>
      </c>
      <c r="V970">
        <v>2</v>
      </c>
      <c r="W970" t="s">
        <v>42</v>
      </c>
      <c r="X970" t="s">
        <v>43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7</v>
      </c>
      <c r="AI970">
        <v>6</v>
      </c>
      <c r="AJ970">
        <v>13</v>
      </c>
    </row>
    <row r="971" spans="1:36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tr">
        <v>yes</v>
      </c>
      <c r="S971" t="s">
        <v>41</v>
      </c>
      <c r="T971">
        <v>7898</v>
      </c>
      <c r="U971">
        <v>18706</v>
      </c>
      <c r="V971">
        <v>1</v>
      </c>
      <c r="W971" t="s">
        <v>42</v>
      </c>
      <c r="X971" t="s">
        <v>43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9</v>
      </c>
      <c r="AI971">
        <v>0</v>
      </c>
      <c r="AJ971">
        <v>8</v>
      </c>
    </row>
    <row r="972" spans="1:36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tr">
        <v>yes</v>
      </c>
      <c r="S972" t="s">
        <v>48</v>
      </c>
      <c r="T972">
        <v>2534</v>
      </c>
      <c r="U972">
        <v>6527</v>
      </c>
      <c r="V972">
        <v>8</v>
      </c>
      <c r="W972" t="s">
        <v>42</v>
      </c>
      <c r="X972" t="s">
        <v>43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0</v>
      </c>
      <c r="AI972">
        <v>0</v>
      </c>
      <c r="AJ972">
        <v>0</v>
      </c>
    </row>
    <row r="973" spans="1:36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tr">
        <v>no</v>
      </c>
      <c r="S973" t="s">
        <v>41</v>
      </c>
      <c r="T973">
        <v>13142</v>
      </c>
      <c r="U973">
        <v>24439</v>
      </c>
      <c r="V973">
        <v>3</v>
      </c>
      <c r="W973" t="s">
        <v>42</v>
      </c>
      <c r="X973" t="s">
        <v>43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</v>
      </c>
      <c r="AI973">
        <v>0</v>
      </c>
      <c r="AJ973">
        <v>3</v>
      </c>
    </row>
    <row r="974" spans="1:36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tr">
        <v>yes</v>
      </c>
      <c r="S974" t="s">
        <v>41</v>
      </c>
      <c r="T974">
        <v>1611</v>
      </c>
      <c r="U974">
        <v>19305</v>
      </c>
      <c r="V974">
        <v>1</v>
      </c>
      <c r="W974" t="s">
        <v>42</v>
      </c>
      <c r="X974" t="s">
        <v>43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</row>
    <row r="975" spans="1:36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tr">
        <v>yes</v>
      </c>
      <c r="S975" t="s">
        <v>48</v>
      </c>
      <c r="T975">
        <v>5363</v>
      </c>
      <c r="U975">
        <v>10846</v>
      </c>
      <c r="V975">
        <v>0</v>
      </c>
      <c r="W975" t="s">
        <v>42</v>
      </c>
      <c r="X975" t="s">
        <v>43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7</v>
      </c>
      <c r="AI975">
        <v>0</v>
      </c>
      <c r="AJ975">
        <v>0</v>
      </c>
    </row>
    <row r="976" spans="1:36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tr">
        <v>yes</v>
      </c>
      <c r="S976" t="s">
        <v>41</v>
      </c>
      <c r="T976">
        <v>5071</v>
      </c>
      <c r="U976">
        <v>20392</v>
      </c>
      <c r="V976">
        <v>3</v>
      </c>
      <c r="W976" t="s">
        <v>42</v>
      </c>
      <c r="X976" t="s">
        <v>43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0</v>
      </c>
      <c r="AJ976">
        <v>0</v>
      </c>
    </row>
    <row r="977" spans="1:36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tr">
        <v>yes</v>
      </c>
      <c r="S977" t="s">
        <v>41</v>
      </c>
      <c r="T977">
        <v>13695</v>
      </c>
      <c r="U977">
        <v>9277</v>
      </c>
      <c r="V977">
        <v>6</v>
      </c>
      <c r="W977" t="s">
        <v>42</v>
      </c>
      <c r="X977" t="s">
        <v>35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7</v>
      </c>
      <c r="AI977">
        <v>3</v>
      </c>
      <c r="AJ977">
        <v>8</v>
      </c>
    </row>
    <row r="978" spans="1:36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tr">
        <v>no</v>
      </c>
      <c r="S978" t="s">
        <v>48</v>
      </c>
      <c r="T978">
        <v>13402</v>
      </c>
      <c r="U978">
        <v>18235</v>
      </c>
      <c r="V978">
        <v>4</v>
      </c>
      <c r="W978" t="s">
        <v>42</v>
      </c>
      <c r="X978" t="s">
        <v>35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16</v>
      </c>
      <c r="AI978">
        <v>15</v>
      </c>
      <c r="AJ978">
        <v>9</v>
      </c>
    </row>
    <row r="979" spans="1:36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tr">
        <v>yes</v>
      </c>
      <c r="S979" t="s">
        <v>52</v>
      </c>
      <c r="T979">
        <v>2029</v>
      </c>
      <c r="U979">
        <v>15891</v>
      </c>
      <c r="V979">
        <v>1</v>
      </c>
      <c r="W979" t="s">
        <v>42</v>
      </c>
      <c r="X979" t="s">
        <v>43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4</v>
      </c>
      <c r="AI979">
        <v>0</v>
      </c>
      <c r="AJ979">
        <v>0</v>
      </c>
    </row>
    <row r="980" spans="1:36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tr">
        <v>yes</v>
      </c>
      <c r="S980" t="s">
        <v>52</v>
      </c>
      <c r="T980">
        <v>6377</v>
      </c>
      <c r="U980">
        <v>13888</v>
      </c>
      <c r="V980">
        <v>5</v>
      </c>
      <c r="W980" t="s">
        <v>42</v>
      </c>
      <c r="X980" t="s">
        <v>43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11</v>
      </c>
      <c r="AI980">
        <v>11</v>
      </c>
      <c r="AJ980">
        <v>8</v>
      </c>
    </row>
    <row r="981" spans="1:36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tr">
        <v>yes</v>
      </c>
      <c r="S981" t="s">
        <v>48</v>
      </c>
      <c r="T981">
        <v>5429</v>
      </c>
      <c r="U981">
        <v>17491</v>
      </c>
      <c r="V981">
        <v>4</v>
      </c>
      <c r="W981" t="s">
        <v>42</v>
      </c>
      <c r="X981" t="s">
        <v>43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7</v>
      </c>
      <c r="AI981">
        <v>7</v>
      </c>
      <c r="AJ981">
        <v>7</v>
      </c>
    </row>
    <row r="982" spans="1:36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tr">
        <v>yes</v>
      </c>
      <c r="S982" t="s">
        <v>41</v>
      </c>
      <c r="T982">
        <v>2785</v>
      </c>
      <c r="U982">
        <v>11882</v>
      </c>
      <c r="V982">
        <v>7</v>
      </c>
      <c r="W982" t="s">
        <v>42</v>
      </c>
      <c r="X982" t="s">
        <v>43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0</v>
      </c>
      <c r="AI982">
        <v>0</v>
      </c>
      <c r="AJ982">
        <v>0</v>
      </c>
    </row>
    <row r="983" spans="1:36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tr">
        <v>yes</v>
      </c>
      <c r="S983" t="s">
        <v>48</v>
      </c>
      <c r="T983">
        <v>4614</v>
      </c>
      <c r="U983">
        <v>23288</v>
      </c>
      <c r="V983">
        <v>0</v>
      </c>
      <c r="W983" t="s">
        <v>42</v>
      </c>
      <c r="X983" t="s">
        <v>35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2</v>
      </c>
      <c r="AI983">
        <v>3</v>
      </c>
      <c r="AJ983">
        <v>2</v>
      </c>
    </row>
    <row r="984" spans="1:36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tr">
        <v>yes</v>
      </c>
      <c r="S984" t="s">
        <v>52</v>
      </c>
      <c r="T984">
        <v>2610</v>
      </c>
      <c r="U984">
        <v>15748</v>
      </c>
      <c r="V984">
        <v>1</v>
      </c>
      <c r="W984" t="s">
        <v>42</v>
      </c>
      <c r="X984" t="s">
        <v>43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2</v>
      </c>
      <c r="AI984">
        <v>0</v>
      </c>
      <c r="AJ984">
        <v>3</v>
      </c>
    </row>
    <row r="985" spans="1:36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tr">
        <v>yes</v>
      </c>
      <c r="S985" t="s">
        <v>41</v>
      </c>
      <c r="T985">
        <v>6687</v>
      </c>
      <c r="U985">
        <v>6163</v>
      </c>
      <c r="V985">
        <v>1</v>
      </c>
      <c r="W985" t="s">
        <v>42</v>
      </c>
      <c r="X985" t="s">
        <v>43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11</v>
      </c>
      <c r="AI985">
        <v>4</v>
      </c>
      <c r="AJ985">
        <v>11</v>
      </c>
    </row>
    <row r="986" spans="1:36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tr">
        <v>no</v>
      </c>
      <c r="S986" t="s">
        <v>48</v>
      </c>
      <c r="T986">
        <v>4724</v>
      </c>
      <c r="U986">
        <v>24232</v>
      </c>
      <c r="V986">
        <v>1</v>
      </c>
      <c r="W986" t="s">
        <v>42</v>
      </c>
      <c r="X986" t="s">
        <v>43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3</v>
      </c>
      <c r="AI986">
        <v>0</v>
      </c>
      <c r="AJ986">
        <v>4</v>
      </c>
    </row>
    <row r="987" spans="1:36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tr">
        <v>yes</v>
      </c>
      <c r="S987" t="s">
        <v>48</v>
      </c>
      <c r="T987">
        <v>6179</v>
      </c>
      <c r="U987">
        <v>21057</v>
      </c>
      <c r="V987">
        <v>1</v>
      </c>
      <c r="W987" t="s">
        <v>42</v>
      </c>
      <c r="X987" t="s">
        <v>35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2</v>
      </c>
      <c r="AI987">
        <v>6</v>
      </c>
      <c r="AJ987">
        <v>7</v>
      </c>
    </row>
    <row r="988" spans="1:36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tr">
        <v>yes</v>
      </c>
      <c r="S988" t="s">
        <v>48</v>
      </c>
      <c r="T988">
        <v>6120</v>
      </c>
      <c r="U988">
        <v>3567</v>
      </c>
      <c r="V988">
        <v>3</v>
      </c>
      <c r="W988" t="s">
        <v>42</v>
      </c>
      <c r="X988" t="s">
        <v>35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4</v>
      </c>
      <c r="AI988">
        <v>1</v>
      </c>
      <c r="AJ988">
        <v>4</v>
      </c>
    </row>
    <row r="989" spans="1:36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tr">
        <v>no</v>
      </c>
      <c r="S989" t="s">
        <v>48</v>
      </c>
      <c r="T989">
        <v>10596</v>
      </c>
      <c r="U989">
        <v>15395</v>
      </c>
      <c r="V989">
        <v>2</v>
      </c>
      <c r="W989" t="s">
        <v>42</v>
      </c>
      <c r="X989" t="s">
        <v>43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2</v>
      </c>
      <c r="AI989">
        <v>3</v>
      </c>
      <c r="AJ989">
        <v>2</v>
      </c>
    </row>
    <row r="990" spans="1:36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tr">
        <v>yes</v>
      </c>
      <c r="S990" t="s">
        <v>52</v>
      </c>
      <c r="T990">
        <v>5467</v>
      </c>
      <c r="U990">
        <v>13953</v>
      </c>
      <c r="V990">
        <v>3</v>
      </c>
      <c r="W990" t="s">
        <v>42</v>
      </c>
      <c r="X990" t="s">
        <v>35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2</v>
      </c>
      <c r="AI990">
        <v>3</v>
      </c>
      <c r="AJ990">
        <v>3</v>
      </c>
    </row>
    <row r="991" spans="1:36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tr">
        <v>yes</v>
      </c>
      <c r="S991" t="s">
        <v>48</v>
      </c>
      <c r="T991">
        <v>2996</v>
      </c>
      <c r="U991">
        <v>5182</v>
      </c>
      <c r="V991">
        <v>7</v>
      </c>
      <c r="W991" t="s">
        <v>42</v>
      </c>
      <c r="X991" t="s">
        <v>35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4</v>
      </c>
      <c r="AI991">
        <v>1</v>
      </c>
      <c r="AJ991">
        <v>3</v>
      </c>
    </row>
    <row r="992" spans="1:36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tr">
        <v>yes</v>
      </c>
      <c r="S992" t="s">
        <v>48</v>
      </c>
      <c r="T992">
        <v>9998</v>
      </c>
      <c r="U992">
        <v>19293</v>
      </c>
      <c r="V992">
        <v>6</v>
      </c>
      <c r="W992" t="s">
        <v>42</v>
      </c>
      <c r="X992" t="s">
        <v>43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4</v>
      </c>
      <c r="AI992">
        <v>1</v>
      </c>
      <c r="AJ992">
        <v>2</v>
      </c>
    </row>
    <row r="993" spans="1:36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tr">
        <v>no</v>
      </c>
      <c r="S993" t="s">
        <v>48</v>
      </c>
      <c r="T993">
        <v>4078</v>
      </c>
      <c r="U993">
        <v>20497</v>
      </c>
      <c r="V993">
        <v>0</v>
      </c>
      <c r="W993" t="s">
        <v>42</v>
      </c>
      <c r="X993" t="s">
        <v>35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2</v>
      </c>
      <c r="AI993">
        <v>1</v>
      </c>
      <c r="AJ993">
        <v>2</v>
      </c>
    </row>
    <row r="994" spans="1:36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tr">
        <v>yes</v>
      </c>
      <c r="S994" t="s">
        <v>48</v>
      </c>
      <c r="T994">
        <v>10920</v>
      </c>
      <c r="U994">
        <v>3449</v>
      </c>
      <c r="V994">
        <v>3</v>
      </c>
      <c r="W994" t="s">
        <v>42</v>
      </c>
      <c r="X994" t="s">
        <v>43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4</v>
      </c>
      <c r="AI994">
        <v>0</v>
      </c>
      <c r="AJ994">
        <v>5</v>
      </c>
    </row>
    <row r="995" spans="1:36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tr">
        <v>yes</v>
      </c>
      <c r="S995" t="s">
        <v>48</v>
      </c>
      <c r="T995">
        <v>6232</v>
      </c>
      <c r="U995">
        <v>12477</v>
      </c>
      <c r="V995">
        <v>2</v>
      </c>
      <c r="W995" t="s">
        <v>42</v>
      </c>
      <c r="X995" t="s">
        <v>43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2</v>
      </c>
      <c r="AI995">
        <v>1</v>
      </c>
      <c r="AJ995">
        <v>2</v>
      </c>
    </row>
    <row r="996" spans="1:36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tr">
        <v>yes</v>
      </c>
      <c r="S996" t="s">
        <v>48</v>
      </c>
      <c r="T996">
        <v>13247</v>
      </c>
      <c r="U996">
        <v>9731</v>
      </c>
      <c r="V996">
        <v>2</v>
      </c>
      <c r="W996" t="s">
        <v>42</v>
      </c>
      <c r="X996" t="s">
        <v>35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3</v>
      </c>
      <c r="AI996">
        <v>0</v>
      </c>
      <c r="AJ996">
        <v>2</v>
      </c>
    </row>
    <row r="997" spans="1:36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tr">
        <v>yes</v>
      </c>
      <c r="S997" t="s">
        <v>41</v>
      </c>
      <c r="T997">
        <v>4081</v>
      </c>
      <c r="U997">
        <v>20003</v>
      </c>
      <c r="V997">
        <v>1</v>
      </c>
      <c r="W997" t="s">
        <v>42</v>
      </c>
      <c r="X997" t="s">
        <v>35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7</v>
      </c>
      <c r="AI997">
        <v>1</v>
      </c>
      <c r="AJ997">
        <v>8</v>
      </c>
    </row>
    <row r="998" spans="1:36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tr">
        <v>yes</v>
      </c>
      <c r="S998" t="s">
        <v>48</v>
      </c>
      <c r="T998">
        <v>5769</v>
      </c>
      <c r="U998">
        <v>7100</v>
      </c>
      <c r="V998">
        <v>1</v>
      </c>
      <c r="W998" t="s">
        <v>42</v>
      </c>
      <c r="X998" t="s">
        <v>35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2</v>
      </c>
      <c r="AI998">
        <v>4</v>
      </c>
      <c r="AJ998">
        <v>4</v>
      </c>
    </row>
    <row r="999" spans="1:36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tr">
        <v>yes</v>
      </c>
      <c r="S999" t="s">
        <v>41</v>
      </c>
      <c r="T999">
        <v>2394</v>
      </c>
      <c r="U999">
        <v>25681</v>
      </c>
      <c r="V999">
        <v>1</v>
      </c>
      <c r="W999" t="s">
        <v>42</v>
      </c>
      <c r="X999" t="s">
        <v>35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2</v>
      </c>
      <c r="AI999">
        <v>7</v>
      </c>
      <c r="AJ999">
        <v>7</v>
      </c>
    </row>
    <row r="1000" spans="1:36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tr">
        <v>yes</v>
      </c>
      <c r="S1000" t="s">
        <v>41</v>
      </c>
      <c r="T1000">
        <v>3904</v>
      </c>
      <c r="U1000">
        <v>4050</v>
      </c>
      <c r="V1000">
        <v>0</v>
      </c>
      <c r="W1000" t="s">
        <v>42</v>
      </c>
      <c r="X1000" t="s">
        <v>43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3</v>
      </c>
      <c r="AI1000">
        <v>1</v>
      </c>
      <c r="AJ1000">
        <v>1</v>
      </c>
    </row>
    <row r="1001" spans="1:36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tr">
        <v>no</v>
      </c>
      <c r="S1001" t="s">
        <v>48</v>
      </c>
      <c r="T1001">
        <v>16799</v>
      </c>
      <c r="U1001">
        <v>16616</v>
      </c>
      <c r="V1001">
        <v>0</v>
      </c>
      <c r="W1001" t="s">
        <v>42</v>
      </c>
      <c r="X1001" t="s">
        <v>43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7</v>
      </c>
      <c r="AI1001">
        <v>0</v>
      </c>
      <c r="AJ1001">
        <v>9</v>
      </c>
    </row>
    <row r="1002" spans="1:36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tr">
        <v>no</v>
      </c>
      <c r="S1002" t="s">
        <v>48</v>
      </c>
      <c r="T1002">
        <v>2950</v>
      </c>
      <c r="U1002">
        <v>17363</v>
      </c>
      <c r="V1002">
        <v>9</v>
      </c>
      <c r="W1002" t="s">
        <v>42</v>
      </c>
      <c r="X1002" t="s">
        <v>43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4</v>
      </c>
      <c r="AI1002">
        <v>0</v>
      </c>
      <c r="AJ1002">
        <v>4</v>
      </c>
    </row>
    <row r="1003" spans="1:36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tr">
        <v>yes</v>
      </c>
      <c r="S1003" t="s">
        <v>41</v>
      </c>
      <c r="T1003">
        <v>3629</v>
      </c>
      <c r="U1003">
        <v>19106</v>
      </c>
      <c r="V1003">
        <v>4</v>
      </c>
      <c r="W1003" t="s">
        <v>42</v>
      </c>
      <c r="X1003" t="s">
        <v>43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2</v>
      </c>
      <c r="AI1003">
        <v>0</v>
      </c>
      <c r="AJ1003">
        <v>2</v>
      </c>
    </row>
    <row r="1004" spans="1:36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tr">
        <v>yes</v>
      </c>
      <c r="S1004" t="s">
        <v>41</v>
      </c>
      <c r="T1004">
        <v>9362</v>
      </c>
      <c r="U1004">
        <v>19944</v>
      </c>
      <c r="V1004">
        <v>2</v>
      </c>
      <c r="W1004" t="s">
        <v>42</v>
      </c>
      <c r="X1004" t="s">
        <v>43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2</v>
      </c>
    </row>
    <row r="1005" spans="1:36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tr">
        <v>yes</v>
      </c>
      <c r="S1005" t="s">
        <v>48</v>
      </c>
      <c r="T1005">
        <v>3229</v>
      </c>
      <c r="U1005">
        <v>4910</v>
      </c>
      <c r="V1005">
        <v>4</v>
      </c>
      <c r="W1005" t="s">
        <v>42</v>
      </c>
      <c r="X1005" t="s">
        <v>43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2</v>
      </c>
      <c r="AI1005">
        <v>0</v>
      </c>
      <c r="AJ1005">
        <v>2</v>
      </c>
    </row>
    <row r="1006" spans="1:36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tr">
        <v>no</v>
      </c>
      <c r="S1006" t="s">
        <v>41</v>
      </c>
      <c r="T1006">
        <v>3578</v>
      </c>
      <c r="U1006">
        <v>23577</v>
      </c>
      <c r="V1006">
        <v>0</v>
      </c>
      <c r="W1006" t="s">
        <v>42</v>
      </c>
      <c r="X1006" t="s">
        <v>43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7</v>
      </c>
      <c r="AI1006">
        <v>0</v>
      </c>
      <c r="AJ1006">
        <v>7</v>
      </c>
    </row>
    <row r="1007" spans="1:36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tr">
        <v>no</v>
      </c>
      <c r="S1007" t="s">
        <v>41</v>
      </c>
      <c r="T1007">
        <v>7988</v>
      </c>
      <c r="U1007">
        <v>9769</v>
      </c>
      <c r="V1007">
        <v>1</v>
      </c>
      <c r="W1007" t="s">
        <v>42</v>
      </c>
      <c r="X1007" t="s">
        <v>43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9</v>
      </c>
      <c r="AI1007">
        <v>0</v>
      </c>
      <c r="AJ1007">
        <v>9</v>
      </c>
    </row>
    <row r="1008" spans="1:36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tr">
        <v>no</v>
      </c>
      <c r="S1008" t="s">
        <v>41</v>
      </c>
      <c r="T1008">
        <v>4284</v>
      </c>
      <c r="U1008">
        <v>22710</v>
      </c>
      <c r="V1008">
        <v>3</v>
      </c>
      <c r="W1008" t="s">
        <v>42</v>
      </c>
      <c r="X1008" t="s">
        <v>43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3</v>
      </c>
      <c r="AI1008">
        <v>1</v>
      </c>
      <c r="AJ1008">
        <v>3</v>
      </c>
    </row>
    <row r="1009" spans="1:36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tr">
        <v>yes</v>
      </c>
      <c r="S1009" t="s">
        <v>41</v>
      </c>
      <c r="T1009">
        <v>7553</v>
      </c>
      <c r="U1009">
        <v>22930</v>
      </c>
      <c r="V1009">
        <v>0</v>
      </c>
      <c r="W1009" t="s">
        <v>42</v>
      </c>
      <c r="X1009" t="s">
        <v>35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7</v>
      </c>
      <c r="AI1009">
        <v>7</v>
      </c>
      <c r="AJ1009">
        <v>7</v>
      </c>
    </row>
    <row r="1010" spans="1:36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tr">
        <v>yes</v>
      </c>
      <c r="S1010" t="s">
        <v>41</v>
      </c>
      <c r="T1010">
        <v>17328</v>
      </c>
      <c r="U1010">
        <v>5652</v>
      </c>
      <c r="V1010">
        <v>6</v>
      </c>
      <c r="W1010" t="s">
        <v>42</v>
      </c>
      <c r="X1010" t="s">
        <v>43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7</v>
      </c>
      <c r="AI1010">
        <v>12</v>
      </c>
      <c r="AJ1010">
        <v>7</v>
      </c>
    </row>
    <row r="1011" spans="1:36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tr">
        <v>no</v>
      </c>
      <c r="S1011" t="s">
        <v>48</v>
      </c>
      <c r="T1011">
        <v>19701</v>
      </c>
      <c r="U1011">
        <v>22456</v>
      </c>
      <c r="V1011">
        <v>3</v>
      </c>
      <c r="W1011" t="s">
        <v>42</v>
      </c>
      <c r="X1011" t="s">
        <v>35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8</v>
      </c>
      <c r="AI1011">
        <v>1</v>
      </c>
      <c r="AJ1011">
        <v>5</v>
      </c>
    </row>
    <row r="1012" spans="1:36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tr">
        <v>yes</v>
      </c>
      <c r="S1012" t="s">
        <v>52</v>
      </c>
      <c r="T1012">
        <v>14732</v>
      </c>
      <c r="U1012">
        <v>12414</v>
      </c>
      <c r="V1012">
        <v>2</v>
      </c>
      <c r="W1012" t="s">
        <v>42</v>
      </c>
      <c r="X1012" t="s">
        <v>43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7</v>
      </c>
      <c r="AI1012">
        <v>0</v>
      </c>
      <c r="AJ1012">
        <v>0</v>
      </c>
    </row>
    <row r="1013" spans="1:36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tr">
        <v>no</v>
      </c>
      <c r="S1013" t="s">
        <v>41</v>
      </c>
      <c r="T1013">
        <v>9278</v>
      </c>
      <c r="U1013">
        <v>20763</v>
      </c>
      <c r="V1013">
        <v>3</v>
      </c>
      <c r="W1013" t="s">
        <v>42</v>
      </c>
      <c r="X1013" t="s">
        <v>35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4</v>
      </c>
      <c r="AI1013">
        <v>0</v>
      </c>
      <c r="AJ1013">
        <v>1</v>
      </c>
    </row>
    <row r="1014" spans="1:36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tr">
        <v>yes</v>
      </c>
      <c r="S1014" t="s">
        <v>41</v>
      </c>
      <c r="T1014">
        <v>1359</v>
      </c>
      <c r="U1014">
        <v>16154</v>
      </c>
      <c r="V1014">
        <v>1</v>
      </c>
      <c r="W1014" t="s">
        <v>42</v>
      </c>
      <c r="X1014" t="s">
        <v>43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</row>
    <row r="1015" spans="1:36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tr">
        <v>no</v>
      </c>
      <c r="S1015" t="s">
        <v>52</v>
      </c>
      <c r="T1015">
        <v>4779</v>
      </c>
      <c r="U1015">
        <v>12761</v>
      </c>
      <c r="V1015">
        <v>7</v>
      </c>
      <c r="W1015" t="s">
        <v>42</v>
      </c>
      <c r="X1015" t="s">
        <v>43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2</v>
      </c>
      <c r="AI1015">
        <v>0</v>
      </c>
      <c r="AJ1015">
        <v>2</v>
      </c>
    </row>
    <row r="1016" spans="1:36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tr">
        <v>no</v>
      </c>
      <c r="S1016" t="s">
        <v>41</v>
      </c>
      <c r="T1016">
        <v>16422</v>
      </c>
      <c r="U1016">
        <v>8847</v>
      </c>
      <c r="V1016">
        <v>3</v>
      </c>
      <c r="W1016" t="s">
        <v>42</v>
      </c>
      <c r="X1016" t="s">
        <v>43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2</v>
      </c>
      <c r="AI1016">
        <v>1</v>
      </c>
      <c r="AJ1016">
        <v>0</v>
      </c>
    </row>
    <row r="1017" spans="1:36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tr">
        <v>no</v>
      </c>
      <c r="S1017" t="s">
        <v>52</v>
      </c>
      <c r="T1017">
        <v>2996</v>
      </c>
      <c r="U1017">
        <v>20284</v>
      </c>
      <c r="V1017">
        <v>5</v>
      </c>
      <c r="W1017" t="s">
        <v>42</v>
      </c>
      <c r="X1017" t="s">
        <v>43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3</v>
      </c>
      <c r="AI1017">
        <v>1</v>
      </c>
      <c r="AJ1017">
        <v>3</v>
      </c>
    </row>
    <row r="1018" spans="1:36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tr">
        <v>no</v>
      </c>
      <c r="S1018" t="s">
        <v>41</v>
      </c>
      <c r="T1018">
        <v>1261</v>
      </c>
      <c r="U1018">
        <v>22262</v>
      </c>
      <c r="V1018">
        <v>1</v>
      </c>
      <c r="W1018" t="s">
        <v>42</v>
      </c>
      <c r="X1018" t="s">
        <v>43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</row>
    <row r="1019" spans="1:36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tr">
        <v>no</v>
      </c>
      <c r="S1019" t="s">
        <v>48</v>
      </c>
      <c r="T1019">
        <v>2099</v>
      </c>
      <c r="U1019">
        <v>7679</v>
      </c>
      <c r="V1019">
        <v>0</v>
      </c>
      <c r="W1019" t="s">
        <v>42</v>
      </c>
      <c r="X1019" t="s">
        <v>43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0</v>
      </c>
      <c r="AI1019">
        <v>1</v>
      </c>
      <c r="AJ1019">
        <v>4</v>
      </c>
    </row>
    <row r="1020" spans="1:36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tr">
        <v>yes</v>
      </c>
      <c r="S1020" t="s">
        <v>41</v>
      </c>
      <c r="T1020">
        <v>5810</v>
      </c>
      <c r="U1020">
        <v>22604</v>
      </c>
      <c r="V1020">
        <v>1</v>
      </c>
      <c r="W1020" t="s">
        <v>42</v>
      </c>
      <c r="X1020" t="s">
        <v>43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4</v>
      </c>
      <c r="AI1020">
        <v>1</v>
      </c>
      <c r="AJ1020">
        <v>8</v>
      </c>
    </row>
    <row r="1021" spans="1:36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tr">
        <v>no</v>
      </c>
      <c r="S1021" t="s">
        <v>48</v>
      </c>
      <c r="T1021">
        <v>5647</v>
      </c>
      <c r="U1021">
        <v>13494</v>
      </c>
      <c r="V1021">
        <v>4</v>
      </c>
      <c r="W1021" t="s">
        <v>42</v>
      </c>
      <c r="X1021" t="s">
        <v>43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2</v>
      </c>
      <c r="AI1021">
        <v>0</v>
      </c>
      <c r="AJ1021">
        <v>2</v>
      </c>
    </row>
    <row r="1022" spans="1:36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tr">
        <v>yes</v>
      </c>
      <c r="S1022" t="s">
        <v>48</v>
      </c>
      <c r="T1022">
        <v>3420</v>
      </c>
      <c r="U1022">
        <v>10205</v>
      </c>
      <c r="V1022">
        <v>7</v>
      </c>
      <c r="W1022" t="s">
        <v>42</v>
      </c>
      <c r="X1022" t="s">
        <v>43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5</v>
      </c>
      <c r="AI1022">
        <v>1</v>
      </c>
      <c r="AJ1022">
        <v>2</v>
      </c>
    </row>
    <row r="1023" spans="1:36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tr">
        <v>no</v>
      </c>
      <c r="S1023" t="s">
        <v>48</v>
      </c>
      <c r="T1023">
        <v>4400</v>
      </c>
      <c r="U1023">
        <v>15182</v>
      </c>
      <c r="V1023">
        <v>3</v>
      </c>
      <c r="W1023" t="s">
        <v>42</v>
      </c>
      <c r="X1023" t="s">
        <v>43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2</v>
      </c>
      <c r="AI1023">
        <v>2</v>
      </c>
      <c r="AJ1023">
        <v>2</v>
      </c>
    </row>
    <row r="1024" spans="1:36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tr">
        <v>yes</v>
      </c>
      <c r="S1024" t="s">
        <v>41</v>
      </c>
      <c r="T1024">
        <v>3500</v>
      </c>
      <c r="U1024">
        <v>25470</v>
      </c>
      <c r="V1024">
        <v>0</v>
      </c>
      <c r="W1024" t="s">
        <v>42</v>
      </c>
      <c r="X1024" t="s">
        <v>43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5</v>
      </c>
      <c r="AI1024">
        <v>1</v>
      </c>
      <c r="AJ1024">
        <v>3</v>
      </c>
    </row>
    <row r="1025" spans="1:36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tr">
        <v>no</v>
      </c>
      <c r="S1025" t="s">
        <v>48</v>
      </c>
      <c r="T1025">
        <v>2066</v>
      </c>
      <c r="U1025">
        <v>10494</v>
      </c>
      <c r="V1025">
        <v>2</v>
      </c>
      <c r="W1025" t="s">
        <v>42</v>
      </c>
      <c r="X1025" t="s">
        <v>43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1</v>
      </c>
      <c r="AJ1025">
        <v>0</v>
      </c>
    </row>
    <row r="1026" spans="1:36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tr">
        <v>yes</v>
      </c>
      <c r="S1026" t="s">
        <v>48</v>
      </c>
      <c r="T1026">
        <v>17169</v>
      </c>
      <c r="U1026">
        <v>26703</v>
      </c>
      <c r="V1026">
        <v>3</v>
      </c>
      <c r="W1026" t="s">
        <v>42</v>
      </c>
      <c r="X1026" t="s">
        <v>43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17</v>
      </c>
      <c r="AI1026">
        <v>5</v>
      </c>
      <c r="AJ1026">
        <v>6</v>
      </c>
    </row>
    <row r="1027" spans="1:36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tr">
        <v>yes</v>
      </c>
      <c r="S1027" t="s">
        <v>48</v>
      </c>
      <c r="T1027">
        <v>4162</v>
      </c>
      <c r="U1027">
        <v>15211</v>
      </c>
      <c r="V1027">
        <v>1</v>
      </c>
      <c r="W1027" t="s">
        <v>42</v>
      </c>
      <c r="X1027" t="s">
        <v>35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4</v>
      </c>
      <c r="AI1027">
        <v>0</v>
      </c>
      <c r="AJ1027">
        <v>3</v>
      </c>
    </row>
    <row r="1028" spans="1:36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tr">
        <v>yes</v>
      </c>
      <c r="S1028" t="s">
        <v>48</v>
      </c>
      <c r="T1028">
        <v>9204</v>
      </c>
      <c r="U1028">
        <v>23343</v>
      </c>
      <c r="V1028">
        <v>4</v>
      </c>
      <c r="W1028" t="s">
        <v>42</v>
      </c>
      <c r="X1028" t="s">
        <v>43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0</v>
      </c>
      <c r="AJ1028">
        <v>3</v>
      </c>
    </row>
    <row r="1029" spans="1:36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tr">
        <v>no</v>
      </c>
      <c r="S1029" t="s">
        <v>48</v>
      </c>
      <c r="T1029">
        <v>3294</v>
      </c>
      <c r="U1029">
        <v>3708</v>
      </c>
      <c r="V1029">
        <v>5</v>
      </c>
      <c r="W1029" t="s">
        <v>42</v>
      </c>
      <c r="X1029" t="s">
        <v>43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4</v>
      </c>
      <c r="AI1029">
        <v>0</v>
      </c>
      <c r="AJ1029">
        <v>2</v>
      </c>
    </row>
    <row r="1030" spans="1:36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tr">
        <v>yes</v>
      </c>
      <c r="S1030" t="s">
        <v>48</v>
      </c>
      <c r="T1030">
        <v>2127</v>
      </c>
      <c r="U1030">
        <v>5561</v>
      </c>
      <c r="V1030">
        <v>2</v>
      </c>
      <c r="W1030" t="s">
        <v>42</v>
      </c>
      <c r="X1030" t="s">
        <v>35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2</v>
      </c>
      <c r="AI1030">
        <v>0</v>
      </c>
      <c r="AJ1030">
        <v>3</v>
      </c>
    </row>
    <row r="1031" spans="1:36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tr">
        <v>yes</v>
      </c>
      <c r="S1031" t="s">
        <v>52</v>
      </c>
      <c r="T1031">
        <v>3975</v>
      </c>
      <c r="U1031">
        <v>23099</v>
      </c>
      <c r="V1031">
        <v>3</v>
      </c>
      <c r="W1031" t="s">
        <v>42</v>
      </c>
      <c r="X1031" t="s">
        <v>43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7</v>
      </c>
      <c r="AI1031">
        <v>0</v>
      </c>
      <c r="AJ1031">
        <v>7</v>
      </c>
    </row>
    <row r="1032" spans="1:36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tr">
        <v>yes</v>
      </c>
      <c r="S1032" t="s">
        <v>52</v>
      </c>
      <c r="T1032">
        <v>10793</v>
      </c>
      <c r="U1032">
        <v>8386</v>
      </c>
      <c r="V1032">
        <v>1</v>
      </c>
      <c r="W1032" t="s">
        <v>42</v>
      </c>
      <c r="X1032" t="s">
        <v>43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7</v>
      </c>
      <c r="AI1032">
        <v>9</v>
      </c>
      <c r="AJ1032">
        <v>9</v>
      </c>
    </row>
    <row r="1033" spans="1:36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tr">
        <v>yes</v>
      </c>
      <c r="S1033" t="s">
        <v>52</v>
      </c>
      <c r="T1033">
        <v>10096</v>
      </c>
      <c r="U1033">
        <v>15986</v>
      </c>
      <c r="V1033">
        <v>4</v>
      </c>
      <c r="W1033" t="s">
        <v>42</v>
      </c>
      <c r="X1033" t="s">
        <v>43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7</v>
      </c>
      <c r="AI1033">
        <v>4</v>
      </c>
      <c r="AJ1033">
        <v>3</v>
      </c>
    </row>
    <row r="1034" spans="1:36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tr">
        <v>no</v>
      </c>
      <c r="S1034" t="s">
        <v>41</v>
      </c>
      <c r="T1034">
        <v>3646</v>
      </c>
      <c r="U1034">
        <v>17181</v>
      </c>
      <c r="V1034">
        <v>2</v>
      </c>
      <c r="W1034" t="s">
        <v>42</v>
      </c>
      <c r="X1034" t="s">
        <v>35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0</v>
      </c>
      <c r="AI1034">
        <v>0</v>
      </c>
      <c r="AJ1034">
        <v>0</v>
      </c>
    </row>
    <row r="1035" spans="1:36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tr">
        <v>no</v>
      </c>
      <c r="S1035" t="s">
        <v>41</v>
      </c>
      <c r="T1035">
        <v>7446</v>
      </c>
      <c r="U1035">
        <v>8931</v>
      </c>
      <c r="V1035">
        <v>1</v>
      </c>
      <c r="W1035" t="s">
        <v>42</v>
      </c>
      <c r="X1035" t="s">
        <v>43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8</v>
      </c>
      <c r="AI1035">
        <v>4</v>
      </c>
      <c r="AJ1035">
        <v>7</v>
      </c>
    </row>
    <row r="1036" spans="1:36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tr">
        <v>no</v>
      </c>
      <c r="S1036" t="s">
        <v>52</v>
      </c>
      <c r="T1036">
        <v>10851</v>
      </c>
      <c r="U1036">
        <v>19863</v>
      </c>
      <c r="V1036">
        <v>2</v>
      </c>
      <c r="W1036" t="s">
        <v>42</v>
      </c>
      <c r="X1036" t="s">
        <v>35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7</v>
      </c>
      <c r="AI1036">
        <v>0</v>
      </c>
      <c r="AJ1036">
        <v>7</v>
      </c>
    </row>
    <row r="1037" spans="1:36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tr">
        <v>no</v>
      </c>
      <c r="S1037" t="s">
        <v>41</v>
      </c>
      <c r="T1037">
        <v>2109</v>
      </c>
      <c r="U1037">
        <v>24609</v>
      </c>
      <c r="V1037">
        <v>9</v>
      </c>
      <c r="W1037" t="s">
        <v>42</v>
      </c>
      <c r="X1037" t="s">
        <v>43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2</v>
      </c>
      <c r="AI1037">
        <v>0</v>
      </c>
      <c r="AJ1037">
        <v>2</v>
      </c>
    </row>
    <row r="1038" spans="1:36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tr">
        <v>yes</v>
      </c>
      <c r="S1038" t="s">
        <v>48</v>
      </c>
      <c r="T1038">
        <v>3722</v>
      </c>
      <c r="U1038">
        <v>21081</v>
      </c>
      <c r="V1038">
        <v>6</v>
      </c>
      <c r="W1038" t="s">
        <v>42</v>
      </c>
      <c r="X1038" t="s">
        <v>35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2</v>
      </c>
      <c r="AI1038">
        <v>2</v>
      </c>
      <c r="AJ1038">
        <v>2</v>
      </c>
    </row>
    <row r="1039" spans="1:36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tr">
        <v>yes</v>
      </c>
      <c r="S1039" t="s">
        <v>48</v>
      </c>
      <c r="T1039">
        <v>9380</v>
      </c>
      <c r="U1039">
        <v>14720</v>
      </c>
      <c r="V1039">
        <v>4</v>
      </c>
      <c r="W1039" t="s">
        <v>42</v>
      </c>
      <c r="X1039" t="s">
        <v>35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1</v>
      </c>
      <c r="AI1039">
        <v>1</v>
      </c>
      <c r="AJ1039">
        <v>2</v>
      </c>
    </row>
    <row r="1040" spans="1:36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tr">
        <v>no</v>
      </c>
      <c r="S1040" t="s">
        <v>52</v>
      </c>
      <c r="T1040">
        <v>5486</v>
      </c>
      <c r="U1040">
        <v>24795</v>
      </c>
      <c r="V1040">
        <v>4</v>
      </c>
      <c r="W1040" t="s">
        <v>42</v>
      </c>
      <c r="X1040" t="s">
        <v>43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2</v>
      </c>
      <c r="AI1040">
        <v>2</v>
      </c>
      <c r="AJ1040">
        <v>2</v>
      </c>
    </row>
    <row r="1041" spans="1:36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tr">
        <v>yes</v>
      </c>
      <c r="S1041" t="s">
        <v>48</v>
      </c>
      <c r="T1041">
        <v>2742</v>
      </c>
      <c r="U1041">
        <v>3072</v>
      </c>
      <c r="V1041">
        <v>1</v>
      </c>
      <c r="W1041" t="s">
        <v>42</v>
      </c>
      <c r="X1041" t="s">
        <v>43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2</v>
      </c>
      <c r="AI1041">
        <v>2</v>
      </c>
      <c r="AJ1041">
        <v>2</v>
      </c>
    </row>
    <row r="1042" spans="1:36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tr">
        <v>no</v>
      </c>
      <c r="S1042" t="s">
        <v>52</v>
      </c>
      <c r="T1042">
        <v>13757</v>
      </c>
      <c r="U1042">
        <v>25178</v>
      </c>
      <c r="V1042">
        <v>2</v>
      </c>
      <c r="W1042" t="s">
        <v>42</v>
      </c>
      <c r="X1042" t="s">
        <v>43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8</v>
      </c>
      <c r="AI1042">
        <v>4</v>
      </c>
      <c r="AJ1042">
        <v>8</v>
      </c>
    </row>
    <row r="1043" spans="1:36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tr">
        <v>no</v>
      </c>
      <c r="S1043" t="s">
        <v>41</v>
      </c>
      <c r="T1043">
        <v>8463</v>
      </c>
      <c r="U1043">
        <v>23490</v>
      </c>
      <c r="V1043">
        <v>0</v>
      </c>
      <c r="W1043" t="s">
        <v>42</v>
      </c>
      <c r="X1043" t="s">
        <v>43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4</v>
      </c>
      <c r="AI1043">
        <v>1</v>
      </c>
      <c r="AJ1043">
        <v>3</v>
      </c>
    </row>
    <row r="1044" spans="1:36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tr">
        <v>yes</v>
      </c>
      <c r="S1044" t="s">
        <v>41</v>
      </c>
      <c r="T1044">
        <v>3162</v>
      </c>
      <c r="U1044">
        <v>7973</v>
      </c>
      <c r="V1044">
        <v>3</v>
      </c>
      <c r="W1044" t="s">
        <v>42</v>
      </c>
      <c r="X1044" t="s">
        <v>43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0</v>
      </c>
      <c r="AJ1044">
        <v>3</v>
      </c>
    </row>
    <row r="1045" spans="1:36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tr">
        <v>no</v>
      </c>
      <c r="S1045" t="s">
        <v>41</v>
      </c>
      <c r="T1045">
        <v>16598</v>
      </c>
      <c r="U1045">
        <v>19764</v>
      </c>
      <c r="V1045">
        <v>4</v>
      </c>
      <c r="W1045" t="s">
        <v>42</v>
      </c>
      <c r="X1045" t="s">
        <v>43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8</v>
      </c>
      <c r="AI1045">
        <v>8</v>
      </c>
      <c r="AJ1045">
        <v>8</v>
      </c>
    </row>
    <row r="1046" spans="1:36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tr">
        <v>yes</v>
      </c>
      <c r="S1046" t="s">
        <v>48</v>
      </c>
      <c r="T1046">
        <v>6651</v>
      </c>
      <c r="U1046">
        <v>21534</v>
      </c>
      <c r="V1046">
        <v>2</v>
      </c>
      <c r="W1046" t="s">
        <v>42</v>
      </c>
      <c r="X1046" t="s">
        <v>43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2</v>
      </c>
      <c r="AI1046">
        <v>1</v>
      </c>
      <c r="AJ1046">
        <v>2</v>
      </c>
    </row>
    <row r="1047" spans="1:36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tr">
        <v>yes</v>
      </c>
      <c r="S1047" t="s">
        <v>52</v>
      </c>
      <c r="T1047">
        <v>2345</v>
      </c>
      <c r="U1047">
        <v>8045</v>
      </c>
      <c r="V1047">
        <v>2</v>
      </c>
      <c r="W1047" t="s">
        <v>42</v>
      </c>
      <c r="X1047" t="s">
        <v>43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1</v>
      </c>
      <c r="AI1047">
        <v>1</v>
      </c>
      <c r="AJ1047">
        <v>2</v>
      </c>
    </row>
    <row r="1048" spans="1:36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tr">
        <v>no</v>
      </c>
      <c r="S1048" t="s">
        <v>41</v>
      </c>
      <c r="T1048">
        <v>3420</v>
      </c>
      <c r="U1048">
        <v>21158</v>
      </c>
      <c r="V1048">
        <v>1</v>
      </c>
      <c r="W1048" t="s">
        <v>42</v>
      </c>
      <c r="X1048" t="s">
        <v>43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2</v>
      </c>
      <c r="AI1048">
        <v>1</v>
      </c>
      <c r="AJ1048">
        <v>3</v>
      </c>
    </row>
    <row r="1049" spans="1:36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tr">
        <v>no</v>
      </c>
      <c r="S1049" t="s">
        <v>48</v>
      </c>
      <c r="T1049">
        <v>4373</v>
      </c>
      <c r="U1049">
        <v>17456</v>
      </c>
      <c r="V1049">
        <v>0</v>
      </c>
      <c r="W1049" t="s">
        <v>42</v>
      </c>
      <c r="X1049" t="s">
        <v>43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3</v>
      </c>
      <c r="AI1049">
        <v>0</v>
      </c>
      <c r="AJ1049">
        <v>3</v>
      </c>
    </row>
    <row r="1050" spans="1:36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tr">
        <v>no</v>
      </c>
      <c r="S1050" t="s">
        <v>41</v>
      </c>
      <c r="T1050">
        <v>4759</v>
      </c>
      <c r="U1050">
        <v>15891</v>
      </c>
      <c r="V1050">
        <v>3</v>
      </c>
      <c r="W1050" t="s">
        <v>42</v>
      </c>
      <c r="X1050" t="s">
        <v>43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9</v>
      </c>
      <c r="AI1050">
        <v>3</v>
      </c>
      <c r="AJ1050">
        <v>12</v>
      </c>
    </row>
    <row r="1051" spans="1:36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tr">
        <v>yes</v>
      </c>
      <c r="S1051" t="s">
        <v>48</v>
      </c>
      <c r="T1051">
        <v>5301</v>
      </c>
      <c r="U1051">
        <v>2939</v>
      </c>
      <c r="V1051">
        <v>8</v>
      </c>
      <c r="W1051" t="s">
        <v>42</v>
      </c>
      <c r="X1051" t="s">
        <v>43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1</v>
      </c>
      <c r="AI1051">
        <v>2</v>
      </c>
      <c r="AJ1051">
        <v>2</v>
      </c>
    </row>
    <row r="1052" spans="1:36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tr">
        <v>yes</v>
      </c>
      <c r="S1052" t="s">
        <v>41</v>
      </c>
      <c r="T1052">
        <v>3673</v>
      </c>
      <c r="U1052">
        <v>16458</v>
      </c>
      <c r="V1052">
        <v>1</v>
      </c>
      <c r="W1052" t="s">
        <v>42</v>
      </c>
      <c r="X1052" t="s">
        <v>43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9</v>
      </c>
      <c r="AI1052">
        <v>5</v>
      </c>
      <c r="AJ1052">
        <v>8</v>
      </c>
    </row>
    <row r="1053" spans="1:36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tr">
        <v>yes</v>
      </c>
      <c r="S1053" t="s">
        <v>48</v>
      </c>
      <c r="T1053">
        <v>4768</v>
      </c>
      <c r="U1053">
        <v>9282</v>
      </c>
      <c r="V1053">
        <v>7</v>
      </c>
      <c r="W1053" t="s">
        <v>42</v>
      </c>
      <c r="X1053" t="s">
        <v>43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0</v>
      </c>
      <c r="AI1053">
        <v>0</v>
      </c>
      <c r="AJ1053">
        <v>0</v>
      </c>
    </row>
    <row r="1054" spans="1:36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tr">
        <v>yes</v>
      </c>
      <c r="S1054" t="s">
        <v>52</v>
      </c>
      <c r="T1054">
        <v>1274</v>
      </c>
      <c r="U1054">
        <v>7152</v>
      </c>
      <c r="V1054">
        <v>1</v>
      </c>
      <c r="W1054" t="s">
        <v>42</v>
      </c>
      <c r="X1054" t="s">
        <v>43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</row>
    <row r="1055" spans="1:36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tr">
        <v>yes</v>
      </c>
      <c r="S1055" t="s">
        <v>48</v>
      </c>
      <c r="T1055">
        <v>4900</v>
      </c>
      <c r="U1055">
        <v>2721</v>
      </c>
      <c r="V1055">
        <v>0</v>
      </c>
      <c r="W1055" t="s">
        <v>42</v>
      </c>
      <c r="X1055" t="s">
        <v>43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9</v>
      </c>
      <c r="AI1055">
        <v>2</v>
      </c>
      <c r="AJ1055">
        <v>8</v>
      </c>
    </row>
    <row r="1056" spans="1:36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tr">
        <v>no</v>
      </c>
      <c r="S1056" t="s">
        <v>52</v>
      </c>
      <c r="T1056">
        <v>10466</v>
      </c>
      <c r="U1056">
        <v>20948</v>
      </c>
      <c r="V1056">
        <v>3</v>
      </c>
      <c r="W1056" t="s">
        <v>42</v>
      </c>
      <c r="X1056" t="s">
        <v>43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7</v>
      </c>
      <c r="AI1056">
        <v>0</v>
      </c>
      <c r="AJ1056">
        <v>7</v>
      </c>
    </row>
    <row r="1057" spans="1:36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tr">
        <v>no</v>
      </c>
      <c r="S1057" t="s">
        <v>52</v>
      </c>
      <c r="T1057">
        <v>17007</v>
      </c>
      <c r="U1057">
        <v>11929</v>
      </c>
      <c r="V1057">
        <v>7</v>
      </c>
      <c r="W1057" t="s">
        <v>42</v>
      </c>
      <c r="X1057" t="s">
        <v>43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8</v>
      </c>
      <c r="AI1057">
        <v>6</v>
      </c>
      <c r="AJ1057">
        <v>9</v>
      </c>
    </row>
    <row r="1058" spans="1:36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tr">
        <v>yes</v>
      </c>
      <c r="S1058" t="s">
        <v>48</v>
      </c>
      <c r="T1058">
        <v>2909</v>
      </c>
      <c r="U1058">
        <v>15747</v>
      </c>
      <c r="V1058">
        <v>3</v>
      </c>
      <c r="W1058" t="s">
        <v>42</v>
      </c>
      <c r="X1058" t="s">
        <v>43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1</v>
      </c>
      <c r="AJ1058">
        <v>2</v>
      </c>
    </row>
    <row r="1059" spans="1:36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tr">
        <v>no</v>
      </c>
      <c r="S1059" t="s">
        <v>41</v>
      </c>
      <c r="T1059">
        <v>5765</v>
      </c>
      <c r="U1059">
        <v>17485</v>
      </c>
      <c r="V1059">
        <v>5</v>
      </c>
      <c r="W1059" t="s">
        <v>42</v>
      </c>
      <c r="X1059" t="s">
        <v>43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3</v>
      </c>
      <c r="AI1059">
        <v>0</v>
      </c>
      <c r="AJ1059">
        <v>0</v>
      </c>
    </row>
    <row r="1060" spans="1:36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tr">
        <v>no</v>
      </c>
      <c r="S1060" t="s">
        <v>41</v>
      </c>
      <c r="T1060">
        <v>4599</v>
      </c>
      <c r="U1060">
        <v>7815</v>
      </c>
      <c r="V1060">
        <v>0</v>
      </c>
      <c r="W1060" t="s">
        <v>42</v>
      </c>
      <c r="X1060" t="s">
        <v>35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9</v>
      </c>
      <c r="AI1060">
        <v>10</v>
      </c>
      <c r="AJ1060">
        <v>10</v>
      </c>
    </row>
    <row r="1061" spans="1:36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tr">
        <v>yes</v>
      </c>
      <c r="S1061" t="s">
        <v>48</v>
      </c>
      <c r="T1061">
        <v>2404</v>
      </c>
      <c r="U1061">
        <v>16192</v>
      </c>
      <c r="V1061">
        <v>1</v>
      </c>
      <c r="W1061" t="s">
        <v>42</v>
      </c>
      <c r="X1061" t="s">
        <v>43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</row>
    <row r="1062" spans="1:36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tr">
        <v>no</v>
      </c>
      <c r="S1062" t="s">
        <v>41</v>
      </c>
      <c r="T1062">
        <v>3172</v>
      </c>
      <c r="U1062">
        <v>16998</v>
      </c>
      <c r="V1062">
        <v>2</v>
      </c>
      <c r="W1062" t="s">
        <v>42</v>
      </c>
      <c r="X1062" t="s">
        <v>35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0</v>
      </c>
      <c r="AI1062">
        <v>0</v>
      </c>
      <c r="AJ1062">
        <v>0</v>
      </c>
    </row>
    <row r="1063" spans="1:36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tr">
        <v>no</v>
      </c>
      <c r="S1063" t="s">
        <v>48</v>
      </c>
      <c r="T1063">
        <v>2033</v>
      </c>
      <c r="U1063">
        <v>7103</v>
      </c>
      <c r="V1063">
        <v>1</v>
      </c>
      <c r="W1063" t="s">
        <v>42</v>
      </c>
      <c r="X1063" t="s">
        <v>43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</row>
    <row r="1064" spans="1:36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tr">
        <v>yes</v>
      </c>
      <c r="S1064" t="s">
        <v>41</v>
      </c>
      <c r="T1064">
        <v>10209</v>
      </c>
      <c r="U1064">
        <v>19719</v>
      </c>
      <c r="V1064">
        <v>5</v>
      </c>
      <c r="W1064" t="s">
        <v>42</v>
      </c>
      <c r="X1064" t="s">
        <v>35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2</v>
      </c>
    </row>
    <row r="1065" spans="1:36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tr">
        <v>yes</v>
      </c>
      <c r="S1065" t="s">
        <v>52</v>
      </c>
      <c r="T1065">
        <v>8620</v>
      </c>
      <c r="U1065">
        <v>23757</v>
      </c>
      <c r="V1065">
        <v>1</v>
      </c>
      <c r="W1065" t="s">
        <v>42</v>
      </c>
      <c r="X1065" t="s">
        <v>43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7</v>
      </c>
      <c r="AI1065">
        <v>0</v>
      </c>
      <c r="AJ1065">
        <v>4</v>
      </c>
    </row>
    <row r="1066" spans="1:36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tr">
        <v>yes</v>
      </c>
      <c r="S1066" t="s">
        <v>52</v>
      </c>
      <c r="T1066">
        <v>2064</v>
      </c>
      <c r="U1066">
        <v>15428</v>
      </c>
      <c r="V1066">
        <v>0</v>
      </c>
      <c r="W1066" t="s">
        <v>42</v>
      </c>
      <c r="X1066" t="s">
        <v>43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3</v>
      </c>
      <c r="AI1066">
        <v>1</v>
      </c>
      <c r="AJ1066">
        <v>3</v>
      </c>
    </row>
    <row r="1067" spans="1:36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tr">
        <v>yes</v>
      </c>
      <c r="S1067" t="s">
        <v>48</v>
      </c>
      <c r="T1067">
        <v>4035</v>
      </c>
      <c r="U1067">
        <v>16143</v>
      </c>
      <c r="V1067">
        <v>0</v>
      </c>
      <c r="W1067" t="s">
        <v>42</v>
      </c>
      <c r="X1067" t="s">
        <v>35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2</v>
      </c>
      <c r="AI1067">
        <v>1</v>
      </c>
      <c r="AJ1067">
        <v>2</v>
      </c>
    </row>
    <row r="1068" spans="1:36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tr">
        <v>no</v>
      </c>
      <c r="S1068" t="s">
        <v>48</v>
      </c>
      <c r="T1068">
        <v>3838</v>
      </c>
      <c r="U1068">
        <v>8192</v>
      </c>
      <c r="V1068">
        <v>8</v>
      </c>
      <c r="W1068" t="s">
        <v>42</v>
      </c>
      <c r="X1068" t="s">
        <v>43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4</v>
      </c>
      <c r="AI1068">
        <v>0</v>
      </c>
      <c r="AJ1068">
        <v>2</v>
      </c>
    </row>
    <row r="1069" spans="1:36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tr">
        <v>yes</v>
      </c>
      <c r="S1069" t="s">
        <v>48</v>
      </c>
      <c r="T1069">
        <v>4591</v>
      </c>
      <c r="U1069">
        <v>24200</v>
      </c>
      <c r="V1069">
        <v>3</v>
      </c>
      <c r="W1069" t="s">
        <v>42</v>
      </c>
      <c r="X1069" t="s">
        <v>35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4</v>
      </c>
      <c r="AI1069">
        <v>1</v>
      </c>
      <c r="AJ1069">
        <v>2</v>
      </c>
    </row>
    <row r="1070" spans="1:36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tr">
        <v>no</v>
      </c>
      <c r="S1070" t="s">
        <v>41</v>
      </c>
      <c r="T1070">
        <v>2561</v>
      </c>
      <c r="U1070">
        <v>5355</v>
      </c>
      <c r="V1070">
        <v>7</v>
      </c>
      <c r="W1070" t="s">
        <v>42</v>
      </c>
      <c r="X1070" t="s">
        <v>43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0</v>
      </c>
      <c r="AI1070">
        <v>0</v>
      </c>
      <c r="AJ1070">
        <v>0</v>
      </c>
    </row>
    <row r="1071" spans="1:36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tr">
        <v>yes</v>
      </c>
      <c r="S1071" t="s">
        <v>52</v>
      </c>
      <c r="T1071">
        <v>1563</v>
      </c>
      <c r="U1071">
        <v>12530</v>
      </c>
      <c r="V1071">
        <v>1</v>
      </c>
      <c r="W1071" t="s">
        <v>42</v>
      </c>
      <c r="X1071" t="s">
        <v>43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</row>
    <row r="1072" spans="1:36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tr">
        <v>no</v>
      </c>
      <c r="S1072" t="s">
        <v>41</v>
      </c>
      <c r="T1072">
        <v>4898</v>
      </c>
      <c r="U1072">
        <v>11827</v>
      </c>
      <c r="V1072">
        <v>0</v>
      </c>
      <c r="W1072" t="s">
        <v>42</v>
      </c>
      <c r="X1072" t="s">
        <v>43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2</v>
      </c>
      <c r="AI1072">
        <v>1</v>
      </c>
      <c r="AJ1072">
        <v>3</v>
      </c>
    </row>
    <row r="1073" spans="1:36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tr">
        <v>no</v>
      </c>
      <c r="S1073" t="s">
        <v>48</v>
      </c>
      <c r="T1073">
        <v>4789</v>
      </c>
      <c r="U1073">
        <v>23070</v>
      </c>
      <c r="V1073">
        <v>4</v>
      </c>
      <c r="W1073" t="s">
        <v>42</v>
      </c>
      <c r="X1073" t="s">
        <v>43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2</v>
      </c>
      <c r="AI1073">
        <v>1</v>
      </c>
      <c r="AJ1073">
        <v>2</v>
      </c>
    </row>
    <row r="1074" spans="1:36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tr">
        <v>no</v>
      </c>
      <c r="S1074" t="s">
        <v>48</v>
      </c>
      <c r="T1074">
        <v>3180</v>
      </c>
      <c r="U1074">
        <v>4668</v>
      </c>
      <c r="V1074">
        <v>0</v>
      </c>
      <c r="W1074" t="s">
        <v>42</v>
      </c>
      <c r="X1074" t="s">
        <v>43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2</v>
      </c>
      <c r="AI1074">
        <v>0</v>
      </c>
      <c r="AJ1074">
        <v>2</v>
      </c>
    </row>
    <row r="1075" spans="1:36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tr">
        <v>no</v>
      </c>
      <c r="S1075" t="s">
        <v>48</v>
      </c>
      <c r="T1075">
        <v>6549</v>
      </c>
      <c r="U1075">
        <v>3173</v>
      </c>
      <c r="V1075">
        <v>1</v>
      </c>
      <c r="W1075" t="s">
        <v>42</v>
      </c>
      <c r="X1075" t="s">
        <v>43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6</v>
      </c>
      <c r="AI1075">
        <v>1</v>
      </c>
      <c r="AJ1075">
        <v>7</v>
      </c>
    </row>
    <row r="1076" spans="1:36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tr">
        <v>yes</v>
      </c>
      <c r="S1076" t="s">
        <v>41</v>
      </c>
      <c r="T1076">
        <v>6388</v>
      </c>
      <c r="U1076">
        <v>22049</v>
      </c>
      <c r="V1076">
        <v>2</v>
      </c>
      <c r="W1076" t="s">
        <v>42</v>
      </c>
      <c r="X1076" t="s">
        <v>35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0</v>
      </c>
      <c r="AI1076">
        <v>0</v>
      </c>
      <c r="AJ1076">
        <v>0</v>
      </c>
    </row>
    <row r="1077" spans="1:36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tr">
        <v>yes</v>
      </c>
      <c r="S1077" t="s">
        <v>41</v>
      </c>
      <c r="T1077">
        <v>11244</v>
      </c>
      <c r="U1077">
        <v>21072</v>
      </c>
      <c r="V1077">
        <v>2</v>
      </c>
      <c r="W1077" t="s">
        <v>42</v>
      </c>
      <c r="X1077" t="s">
        <v>43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2</v>
      </c>
      <c r="AI1077">
        <v>0</v>
      </c>
      <c r="AJ1077">
        <v>0</v>
      </c>
    </row>
    <row r="1078" spans="1:36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tr">
        <v>yes</v>
      </c>
      <c r="S1078" t="s">
        <v>52</v>
      </c>
      <c r="T1078">
        <v>16032</v>
      </c>
      <c r="U1078">
        <v>24456</v>
      </c>
      <c r="V1078">
        <v>3</v>
      </c>
      <c r="W1078" t="s">
        <v>42</v>
      </c>
      <c r="X1078" t="s">
        <v>43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9</v>
      </c>
      <c r="AI1078">
        <v>1</v>
      </c>
      <c r="AJ1078">
        <v>12</v>
      </c>
    </row>
    <row r="1079" spans="1:36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tr">
        <v>no</v>
      </c>
      <c r="S1079" t="s">
        <v>41</v>
      </c>
      <c r="T1079">
        <v>2362</v>
      </c>
      <c r="U1079">
        <v>7568</v>
      </c>
      <c r="V1079">
        <v>6</v>
      </c>
      <c r="W1079" t="s">
        <v>42</v>
      </c>
      <c r="X1079" t="s">
        <v>43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7</v>
      </c>
      <c r="AI1079">
        <v>0</v>
      </c>
      <c r="AJ1079">
        <v>7</v>
      </c>
    </row>
    <row r="1080" spans="1:36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tr">
        <v>no</v>
      </c>
      <c r="S1080" t="s">
        <v>48</v>
      </c>
      <c r="T1080">
        <v>16328</v>
      </c>
      <c r="U1080">
        <v>22074</v>
      </c>
      <c r="V1080">
        <v>3</v>
      </c>
      <c r="W1080" t="s">
        <v>42</v>
      </c>
      <c r="X1080" t="s">
        <v>43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6</v>
      </c>
      <c r="AI1080">
        <v>14</v>
      </c>
      <c r="AJ1080">
        <v>17</v>
      </c>
    </row>
    <row r="1081" spans="1:36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tr">
        <v>no</v>
      </c>
      <c r="S1081" t="s">
        <v>41</v>
      </c>
      <c r="T1081">
        <v>8376</v>
      </c>
      <c r="U1081">
        <v>9150</v>
      </c>
      <c r="V1081">
        <v>4</v>
      </c>
      <c r="W1081" t="s">
        <v>42</v>
      </c>
      <c r="X1081" t="s">
        <v>43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0</v>
      </c>
      <c r="AI1081">
        <v>2</v>
      </c>
      <c r="AJ1081">
        <v>2</v>
      </c>
    </row>
    <row r="1082" spans="1:36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tr">
        <v>no</v>
      </c>
      <c r="S1082" t="s">
        <v>48</v>
      </c>
      <c r="T1082">
        <v>16606</v>
      </c>
      <c r="U1082">
        <v>11380</v>
      </c>
      <c r="V1082">
        <v>8</v>
      </c>
      <c r="W1082" t="s">
        <v>42</v>
      </c>
      <c r="X1082" t="s">
        <v>43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12</v>
      </c>
      <c r="AI1082">
        <v>5</v>
      </c>
      <c r="AJ1082">
        <v>1</v>
      </c>
    </row>
    <row r="1083" spans="1:36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tr">
        <v>no</v>
      </c>
      <c r="S1083" t="s">
        <v>41</v>
      </c>
      <c r="T1083">
        <v>8606</v>
      </c>
      <c r="U1083">
        <v>21195</v>
      </c>
      <c r="V1083">
        <v>1</v>
      </c>
      <c r="W1083" t="s">
        <v>42</v>
      </c>
      <c r="X1083" t="s">
        <v>43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8</v>
      </c>
      <c r="AI1083">
        <v>3</v>
      </c>
      <c r="AJ1083">
        <v>3</v>
      </c>
    </row>
    <row r="1084" spans="1:36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tr">
        <v>yes</v>
      </c>
      <c r="S1084" t="s">
        <v>41</v>
      </c>
      <c r="T1084">
        <v>2272</v>
      </c>
      <c r="U1084">
        <v>24812</v>
      </c>
      <c r="V1084">
        <v>0</v>
      </c>
      <c r="W1084" t="s">
        <v>42</v>
      </c>
      <c r="X1084" t="s">
        <v>43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3</v>
      </c>
      <c r="AI1084">
        <v>1</v>
      </c>
      <c r="AJ1084">
        <v>2</v>
      </c>
    </row>
    <row r="1085" spans="1:36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tr">
        <v>no</v>
      </c>
      <c r="S1085" t="s">
        <v>41</v>
      </c>
      <c r="T1085">
        <v>2018</v>
      </c>
      <c r="U1085">
        <v>21831</v>
      </c>
      <c r="V1085">
        <v>3</v>
      </c>
      <c r="W1085" t="s">
        <v>42</v>
      </c>
      <c r="X1085" t="s">
        <v>43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4</v>
      </c>
      <c r="AI1085">
        <v>1</v>
      </c>
      <c r="AJ1085">
        <v>0</v>
      </c>
    </row>
    <row r="1086" spans="1:36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tr">
        <v>yes</v>
      </c>
      <c r="S1086" t="s">
        <v>48</v>
      </c>
      <c r="T1086">
        <v>7083</v>
      </c>
      <c r="U1086">
        <v>12288</v>
      </c>
      <c r="V1086">
        <v>1</v>
      </c>
      <c r="W1086" t="s">
        <v>42</v>
      </c>
      <c r="X1086" t="s">
        <v>35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9</v>
      </c>
      <c r="AI1086">
        <v>8</v>
      </c>
      <c r="AJ1086">
        <v>6</v>
      </c>
    </row>
    <row r="1087" spans="1:36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tr">
        <v>yes</v>
      </c>
      <c r="S1087" t="s">
        <v>41</v>
      </c>
      <c r="T1087">
        <v>4084</v>
      </c>
      <c r="U1087">
        <v>4156</v>
      </c>
      <c r="V1087">
        <v>1</v>
      </c>
      <c r="W1087" t="s">
        <v>42</v>
      </c>
      <c r="X1087" t="s">
        <v>43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2</v>
      </c>
      <c r="AI1087">
        <v>7</v>
      </c>
      <c r="AJ1087">
        <v>7</v>
      </c>
    </row>
    <row r="1088" spans="1:36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tr">
        <v>yes</v>
      </c>
      <c r="S1088" t="s">
        <v>41</v>
      </c>
      <c r="T1088">
        <v>14411</v>
      </c>
      <c r="U1088">
        <v>24450</v>
      </c>
      <c r="V1088">
        <v>1</v>
      </c>
      <c r="W1088" t="s">
        <v>42</v>
      </c>
      <c r="X1088" t="s">
        <v>35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6</v>
      </c>
      <c r="AI1088">
        <v>13</v>
      </c>
      <c r="AJ1088">
        <v>9</v>
      </c>
    </row>
    <row r="1089" spans="1:36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tr">
        <v>yes</v>
      </c>
      <c r="S1089" t="s">
        <v>48</v>
      </c>
      <c r="T1089">
        <v>2308</v>
      </c>
      <c r="U1089">
        <v>4944</v>
      </c>
      <c r="V1089">
        <v>0</v>
      </c>
      <c r="W1089" t="s">
        <v>42</v>
      </c>
      <c r="X1089" t="s">
        <v>35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10</v>
      </c>
      <c r="AI1089">
        <v>5</v>
      </c>
      <c r="AJ1089">
        <v>7</v>
      </c>
    </row>
    <row r="1090" spans="1:36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tr">
        <v>no</v>
      </c>
      <c r="S1090" t="s">
        <v>48</v>
      </c>
      <c r="T1090">
        <v>4841</v>
      </c>
      <c r="U1090">
        <v>24052</v>
      </c>
      <c r="V1090">
        <v>4</v>
      </c>
      <c r="W1090" t="s">
        <v>42</v>
      </c>
      <c r="X1090" t="s">
        <v>43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0</v>
      </c>
      <c r="AI1090">
        <v>0</v>
      </c>
      <c r="AJ1090">
        <v>0</v>
      </c>
    </row>
    <row r="1091" spans="1:36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tr">
        <v>yes</v>
      </c>
      <c r="S1091" t="s">
        <v>48</v>
      </c>
      <c r="T1091">
        <v>4285</v>
      </c>
      <c r="U1091">
        <v>3031</v>
      </c>
      <c r="V1091">
        <v>1</v>
      </c>
      <c r="W1091" t="s">
        <v>42</v>
      </c>
      <c r="X1091" t="s">
        <v>43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8</v>
      </c>
      <c r="AI1091">
        <v>3</v>
      </c>
      <c r="AJ1091">
        <v>7</v>
      </c>
    </row>
    <row r="1092" spans="1:36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tr">
        <v>no</v>
      </c>
      <c r="S1092" t="s">
        <v>48</v>
      </c>
      <c r="T1092">
        <v>9715</v>
      </c>
      <c r="U1092">
        <v>7288</v>
      </c>
      <c r="V1092">
        <v>3</v>
      </c>
      <c r="W1092" t="s">
        <v>42</v>
      </c>
      <c r="X1092" t="s">
        <v>43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7</v>
      </c>
      <c r="AI1092">
        <v>0</v>
      </c>
      <c r="AJ1092">
        <v>7</v>
      </c>
    </row>
    <row r="1093" spans="1:36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tr">
        <v>no</v>
      </c>
      <c r="S1093" t="s">
        <v>41</v>
      </c>
      <c r="T1093">
        <v>4320</v>
      </c>
      <c r="U1093">
        <v>24152</v>
      </c>
      <c r="V1093">
        <v>1</v>
      </c>
      <c r="W1093" t="s">
        <v>42</v>
      </c>
      <c r="X1093" t="s">
        <v>43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3</v>
      </c>
      <c r="AI1093">
        <v>0</v>
      </c>
      <c r="AJ1093">
        <v>2</v>
      </c>
    </row>
    <row r="1094" spans="1:36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tr">
        <v>yes</v>
      </c>
      <c r="S1094" t="s">
        <v>48</v>
      </c>
      <c r="T1094">
        <v>2132</v>
      </c>
      <c r="U1094">
        <v>4585</v>
      </c>
      <c r="V1094">
        <v>4</v>
      </c>
      <c r="W1094" t="s">
        <v>42</v>
      </c>
      <c r="X1094" t="s">
        <v>43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4</v>
      </c>
      <c r="AI1094">
        <v>0</v>
      </c>
      <c r="AJ1094">
        <v>3</v>
      </c>
    </row>
    <row r="1095" spans="1:36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tr">
        <v>yes</v>
      </c>
      <c r="S1095" t="s">
        <v>48</v>
      </c>
      <c r="T1095">
        <v>10124</v>
      </c>
      <c r="U1095">
        <v>18611</v>
      </c>
      <c r="V1095">
        <v>2</v>
      </c>
      <c r="W1095" t="s">
        <v>42</v>
      </c>
      <c r="X1095" t="s">
        <v>35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8</v>
      </c>
      <c r="AI1095">
        <v>13</v>
      </c>
      <c r="AJ1095">
        <v>9</v>
      </c>
    </row>
    <row r="1096" spans="1:36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tr">
        <v>no</v>
      </c>
      <c r="S1096" t="s">
        <v>48</v>
      </c>
      <c r="T1096">
        <v>5473</v>
      </c>
      <c r="U1096">
        <v>19345</v>
      </c>
      <c r="V1096">
        <v>0</v>
      </c>
      <c r="W1096" t="s">
        <v>42</v>
      </c>
      <c r="X1096" t="s">
        <v>43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4</v>
      </c>
      <c r="AI1096">
        <v>7</v>
      </c>
      <c r="AJ1096">
        <v>1</v>
      </c>
    </row>
    <row r="1097" spans="1:36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tr">
        <v>yes</v>
      </c>
      <c r="S1097" t="s">
        <v>48</v>
      </c>
      <c r="T1097">
        <v>5207</v>
      </c>
      <c r="U1097">
        <v>22949</v>
      </c>
      <c r="V1097">
        <v>1</v>
      </c>
      <c r="W1097" t="s">
        <v>42</v>
      </c>
      <c r="X1097" t="s">
        <v>35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14</v>
      </c>
      <c r="AI1097">
        <v>5</v>
      </c>
      <c r="AJ1097">
        <v>7</v>
      </c>
    </row>
    <row r="1098" spans="1:36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tr">
        <v>yes</v>
      </c>
      <c r="S1098" t="s">
        <v>41</v>
      </c>
      <c r="T1098">
        <v>16437</v>
      </c>
      <c r="U1098">
        <v>17381</v>
      </c>
      <c r="V1098">
        <v>1</v>
      </c>
      <c r="W1098" t="s">
        <v>42</v>
      </c>
      <c r="X1098" t="s">
        <v>35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7</v>
      </c>
      <c r="AI1098">
        <v>7</v>
      </c>
      <c r="AJ1098">
        <v>7</v>
      </c>
    </row>
    <row r="1099" spans="1:36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tr">
        <v>no</v>
      </c>
      <c r="S1099" t="s">
        <v>52</v>
      </c>
      <c r="T1099">
        <v>2296</v>
      </c>
      <c r="U1099">
        <v>10036</v>
      </c>
      <c r="V1099">
        <v>0</v>
      </c>
      <c r="W1099" t="s">
        <v>42</v>
      </c>
      <c r="X1099" t="s">
        <v>43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0</v>
      </c>
      <c r="AJ1099">
        <v>0</v>
      </c>
    </row>
    <row r="1100" spans="1:36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tr">
        <v>yes</v>
      </c>
      <c r="S1100" t="s">
        <v>52</v>
      </c>
      <c r="T1100">
        <v>4069</v>
      </c>
      <c r="U1100">
        <v>8841</v>
      </c>
      <c r="V1100">
        <v>3</v>
      </c>
      <c r="W1100" t="s">
        <v>42</v>
      </c>
      <c r="X1100" t="s">
        <v>35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2</v>
      </c>
      <c r="AI1100">
        <v>2</v>
      </c>
      <c r="AJ1100">
        <v>2</v>
      </c>
    </row>
    <row r="1101" spans="1:36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tr">
        <v>no</v>
      </c>
      <c r="S1101" t="s">
        <v>52</v>
      </c>
      <c r="T1101">
        <v>7441</v>
      </c>
      <c r="U1101">
        <v>20933</v>
      </c>
      <c r="V1101">
        <v>1</v>
      </c>
      <c r="W1101" t="s">
        <v>42</v>
      </c>
      <c r="X1101" t="s">
        <v>43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8</v>
      </c>
      <c r="AI1101">
        <v>7</v>
      </c>
      <c r="AJ1101">
        <v>7</v>
      </c>
    </row>
    <row r="1102" spans="1:36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tr">
        <v>yes</v>
      </c>
      <c r="S1102" t="s">
        <v>48</v>
      </c>
      <c r="T1102">
        <v>2430</v>
      </c>
      <c r="U1102">
        <v>26204</v>
      </c>
      <c r="V1102">
        <v>0</v>
      </c>
      <c r="W1102" t="s">
        <v>42</v>
      </c>
      <c r="X1102" t="s">
        <v>43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3</v>
      </c>
      <c r="AI1102">
        <v>4</v>
      </c>
      <c r="AJ1102">
        <v>2</v>
      </c>
    </row>
    <row r="1103" spans="1:36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tr">
        <v>no</v>
      </c>
      <c r="S1103" t="s">
        <v>48</v>
      </c>
      <c r="T1103">
        <v>5878</v>
      </c>
      <c r="U1103">
        <v>15624</v>
      </c>
      <c r="V1103">
        <v>3</v>
      </c>
      <c r="W1103" t="s">
        <v>42</v>
      </c>
      <c r="X1103" t="s">
        <v>43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1</v>
      </c>
      <c r="AI1103">
        <v>2</v>
      </c>
      <c r="AJ1103">
        <v>5</v>
      </c>
    </row>
    <row r="1104" spans="1:36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tr">
        <v>yes</v>
      </c>
      <c r="S1104" t="s">
        <v>41</v>
      </c>
      <c r="T1104">
        <v>2644</v>
      </c>
      <c r="U1104">
        <v>17001</v>
      </c>
      <c r="V1104">
        <v>3</v>
      </c>
      <c r="W1104" t="s">
        <v>42</v>
      </c>
      <c r="X1104" t="s">
        <v>35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2</v>
      </c>
      <c r="AI1104">
        <v>1</v>
      </c>
      <c r="AJ1104">
        <v>2</v>
      </c>
    </row>
    <row r="1105" spans="1:36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tr">
        <v>yes</v>
      </c>
      <c r="S1105" t="s">
        <v>52</v>
      </c>
      <c r="T1105">
        <v>6439</v>
      </c>
      <c r="U1105">
        <v>13693</v>
      </c>
      <c r="V1105">
        <v>8</v>
      </c>
      <c r="W1105" t="s">
        <v>42</v>
      </c>
      <c r="X1105" t="s">
        <v>43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7</v>
      </c>
      <c r="AI1105">
        <v>7</v>
      </c>
      <c r="AJ1105">
        <v>7</v>
      </c>
    </row>
    <row r="1106" spans="1:36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tr">
        <v>yes</v>
      </c>
      <c r="S1106" t="s">
        <v>48</v>
      </c>
      <c r="T1106">
        <v>2451</v>
      </c>
      <c r="U1106">
        <v>22376</v>
      </c>
      <c r="V1106">
        <v>6</v>
      </c>
      <c r="W1106" t="s">
        <v>42</v>
      </c>
      <c r="X1106" t="s">
        <v>43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0</v>
      </c>
      <c r="AI1106">
        <v>0</v>
      </c>
      <c r="AJ1106">
        <v>0</v>
      </c>
    </row>
    <row r="1107" spans="1:36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tr">
        <v>no</v>
      </c>
      <c r="S1107" t="s">
        <v>48</v>
      </c>
      <c r="T1107">
        <v>6392</v>
      </c>
      <c r="U1107">
        <v>10589</v>
      </c>
      <c r="V1107">
        <v>2</v>
      </c>
      <c r="W1107" t="s">
        <v>42</v>
      </c>
      <c r="X1107" t="s">
        <v>43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2</v>
      </c>
      <c r="AI1107">
        <v>2</v>
      </c>
      <c r="AJ1107">
        <v>2</v>
      </c>
    </row>
    <row r="1108" spans="1:36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tr">
        <v>no</v>
      </c>
      <c r="S1108" t="s">
        <v>48</v>
      </c>
      <c r="T1108">
        <v>9714</v>
      </c>
      <c r="U1108">
        <v>5323</v>
      </c>
      <c r="V1108">
        <v>1</v>
      </c>
      <c r="W1108" t="s">
        <v>42</v>
      </c>
      <c r="X1108" t="s">
        <v>43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8</v>
      </c>
      <c r="AI1108">
        <v>6</v>
      </c>
      <c r="AJ1108">
        <v>7</v>
      </c>
    </row>
    <row r="1109" spans="1:36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tr">
        <v>yes</v>
      </c>
      <c r="S1109" t="s">
        <v>48</v>
      </c>
      <c r="T1109">
        <v>6077</v>
      </c>
      <c r="U1109">
        <v>14814</v>
      </c>
      <c r="V1109">
        <v>3</v>
      </c>
      <c r="W1109" t="s">
        <v>42</v>
      </c>
      <c r="X1109" t="s">
        <v>43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3</v>
      </c>
      <c r="AI1109">
        <v>1</v>
      </c>
      <c r="AJ1109">
        <v>2</v>
      </c>
    </row>
    <row r="1110" spans="1:36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tr">
        <v>no</v>
      </c>
      <c r="S1110" t="s">
        <v>41</v>
      </c>
      <c r="T1110">
        <v>2450</v>
      </c>
      <c r="U1110">
        <v>21731</v>
      </c>
      <c r="V1110">
        <v>1</v>
      </c>
      <c r="W1110" t="s">
        <v>42</v>
      </c>
      <c r="X1110" t="s">
        <v>43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1</v>
      </c>
      <c r="AJ1110">
        <v>2</v>
      </c>
    </row>
    <row r="1111" spans="1:36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tr">
        <v>no</v>
      </c>
      <c r="S1111" t="s">
        <v>48</v>
      </c>
      <c r="T1111">
        <v>9250</v>
      </c>
      <c r="U1111">
        <v>17799</v>
      </c>
      <c r="V1111">
        <v>3</v>
      </c>
      <c r="W1111" t="s">
        <v>42</v>
      </c>
      <c r="X1111" t="s">
        <v>43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2</v>
      </c>
      <c r="AI1111">
        <v>1</v>
      </c>
      <c r="AJ1111">
        <v>3</v>
      </c>
    </row>
    <row r="1112" spans="1:36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tr">
        <v>no</v>
      </c>
      <c r="S1112" t="s">
        <v>52</v>
      </c>
      <c r="T1112">
        <v>2074</v>
      </c>
      <c r="U1112">
        <v>26619</v>
      </c>
      <c r="V1112">
        <v>1</v>
      </c>
      <c r="W1112" t="s">
        <v>42</v>
      </c>
      <c r="X1112" t="s">
        <v>35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</row>
    <row r="1113" spans="1:36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tr">
        <v>yes</v>
      </c>
      <c r="S1113" t="s">
        <v>48</v>
      </c>
      <c r="T1113">
        <v>10169</v>
      </c>
      <c r="U1113">
        <v>14618</v>
      </c>
      <c r="V1113">
        <v>0</v>
      </c>
      <c r="W1113" t="s">
        <v>42</v>
      </c>
      <c r="X1113" t="s">
        <v>43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7</v>
      </c>
      <c r="AI1113">
        <v>1</v>
      </c>
      <c r="AJ1113">
        <v>9</v>
      </c>
    </row>
    <row r="1114" spans="1:36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tr">
        <v>no</v>
      </c>
      <c r="S1114" t="s">
        <v>48</v>
      </c>
      <c r="T1114">
        <v>4855</v>
      </c>
      <c r="U1114">
        <v>7653</v>
      </c>
      <c r="V1114">
        <v>4</v>
      </c>
      <c r="W1114" t="s">
        <v>42</v>
      </c>
      <c r="X1114" t="s">
        <v>43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1</v>
      </c>
      <c r="AJ1114">
        <v>4</v>
      </c>
    </row>
    <row r="1115" spans="1:36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tr">
        <v>no</v>
      </c>
      <c r="S1115" t="s">
        <v>48</v>
      </c>
      <c r="T1115">
        <v>4087</v>
      </c>
      <c r="U1115">
        <v>25174</v>
      </c>
      <c r="V1115">
        <v>4</v>
      </c>
      <c r="W1115" t="s">
        <v>42</v>
      </c>
      <c r="X1115" t="s">
        <v>43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5</v>
      </c>
      <c r="AI1115">
        <v>1</v>
      </c>
      <c r="AJ1115">
        <v>2</v>
      </c>
    </row>
    <row r="1116" spans="1:36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tr">
        <v>no</v>
      </c>
      <c r="S1116" t="s">
        <v>48</v>
      </c>
      <c r="T1116">
        <v>2367</v>
      </c>
      <c r="U1116">
        <v>16530</v>
      </c>
      <c r="V1116">
        <v>8</v>
      </c>
      <c r="W1116" t="s">
        <v>42</v>
      </c>
      <c r="X1116" t="s">
        <v>43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7</v>
      </c>
      <c r="AJ1116">
        <v>6</v>
      </c>
    </row>
    <row r="1117" spans="1:36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tr">
        <v>yes</v>
      </c>
      <c r="S1117" t="s">
        <v>41</v>
      </c>
      <c r="T1117">
        <v>2972</v>
      </c>
      <c r="U1117">
        <v>22061</v>
      </c>
      <c r="V1117">
        <v>1</v>
      </c>
      <c r="W1117" t="s">
        <v>42</v>
      </c>
      <c r="X1117" t="s">
        <v>43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</row>
    <row r="1118" spans="1:36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tr">
        <v>yes</v>
      </c>
      <c r="S1118" t="s">
        <v>48</v>
      </c>
      <c r="T1118">
        <v>19586</v>
      </c>
      <c r="U1118">
        <v>23037</v>
      </c>
      <c r="V1118">
        <v>1</v>
      </c>
      <c r="W1118" t="s">
        <v>42</v>
      </c>
      <c r="X1118" t="s">
        <v>43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6</v>
      </c>
      <c r="AI1118">
        <v>2</v>
      </c>
      <c r="AJ1118">
        <v>13</v>
      </c>
    </row>
    <row r="1119" spans="1:36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tr">
        <v>yes</v>
      </c>
      <c r="S1119" t="s">
        <v>48</v>
      </c>
      <c r="T1119">
        <v>5484</v>
      </c>
      <c r="U1119">
        <v>13008</v>
      </c>
      <c r="V1119">
        <v>9</v>
      </c>
      <c r="W1119" t="s">
        <v>42</v>
      </c>
      <c r="X1119" t="s">
        <v>43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2</v>
      </c>
      <c r="AI1119">
        <v>2</v>
      </c>
      <c r="AJ1119">
        <v>1</v>
      </c>
    </row>
    <row r="1120" spans="1:36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tr">
        <v>yes</v>
      </c>
      <c r="S1120" t="s">
        <v>48</v>
      </c>
      <c r="T1120">
        <v>2061</v>
      </c>
      <c r="U1120">
        <v>11133</v>
      </c>
      <c r="V1120">
        <v>1</v>
      </c>
      <c r="W1120" t="s">
        <v>42</v>
      </c>
      <c r="X1120" t="s">
        <v>43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</row>
    <row r="1121" spans="1:36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tr">
        <v>no</v>
      </c>
      <c r="S1121" t="s">
        <v>48</v>
      </c>
      <c r="T1121">
        <v>9924</v>
      </c>
      <c r="U1121">
        <v>12355</v>
      </c>
      <c r="V1121">
        <v>0</v>
      </c>
      <c r="W1121" t="s">
        <v>42</v>
      </c>
      <c r="X1121" t="s">
        <v>43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8</v>
      </c>
      <c r="AI1121">
        <v>7</v>
      </c>
      <c r="AJ1121">
        <v>7</v>
      </c>
    </row>
    <row r="1122" spans="1:36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tr">
        <v>no</v>
      </c>
      <c r="S1122" t="s">
        <v>41</v>
      </c>
      <c r="T1122">
        <v>4198</v>
      </c>
      <c r="U1122">
        <v>16379</v>
      </c>
      <c r="V1122">
        <v>2</v>
      </c>
      <c r="W1122" t="s">
        <v>42</v>
      </c>
      <c r="X1122" t="s">
        <v>43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2</v>
      </c>
      <c r="AI1122">
        <v>1</v>
      </c>
      <c r="AJ1122">
        <v>2</v>
      </c>
    </row>
    <row r="1123" spans="1:36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tr">
        <v>yes</v>
      </c>
      <c r="S1123" t="s">
        <v>41</v>
      </c>
      <c r="T1123">
        <v>6815</v>
      </c>
      <c r="U1123">
        <v>21447</v>
      </c>
      <c r="V1123">
        <v>6</v>
      </c>
      <c r="W1123" t="s">
        <v>42</v>
      </c>
      <c r="X1123" t="s">
        <v>43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0</v>
      </c>
      <c r="AI1123">
        <v>0</v>
      </c>
      <c r="AJ1123">
        <v>0</v>
      </c>
    </row>
    <row r="1124" spans="1:36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tr">
        <v>no</v>
      </c>
      <c r="S1124" t="s">
        <v>41</v>
      </c>
      <c r="T1124">
        <v>4723</v>
      </c>
      <c r="U1124">
        <v>16213</v>
      </c>
      <c r="V1124">
        <v>1</v>
      </c>
      <c r="W1124" t="s">
        <v>42</v>
      </c>
      <c r="X1124" t="s">
        <v>35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9</v>
      </c>
      <c r="AI1124">
        <v>1</v>
      </c>
      <c r="AJ1124">
        <v>5</v>
      </c>
    </row>
    <row r="1125" spans="1:36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tr">
        <v>yes</v>
      </c>
      <c r="S1125" t="s">
        <v>41</v>
      </c>
      <c r="T1125">
        <v>6142</v>
      </c>
      <c r="U1125">
        <v>4223</v>
      </c>
      <c r="V1125">
        <v>3</v>
      </c>
      <c r="W1125" t="s">
        <v>42</v>
      </c>
      <c r="X1125" t="s">
        <v>35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2</v>
      </c>
      <c r="AI1125">
        <v>0</v>
      </c>
      <c r="AJ1125">
        <v>4</v>
      </c>
    </row>
    <row r="1126" spans="1:36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tr">
        <v>yes</v>
      </c>
      <c r="S1126" t="s">
        <v>48</v>
      </c>
      <c r="T1126">
        <v>8237</v>
      </c>
      <c r="U1126">
        <v>4658</v>
      </c>
      <c r="V1126">
        <v>2</v>
      </c>
      <c r="W1126" t="s">
        <v>42</v>
      </c>
      <c r="X1126" t="s">
        <v>43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6</v>
      </c>
      <c r="AI1126">
        <v>7</v>
      </c>
      <c r="AJ1126">
        <v>6</v>
      </c>
    </row>
    <row r="1127" spans="1:36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tr">
        <v>yes</v>
      </c>
      <c r="S1127" t="s">
        <v>52</v>
      </c>
      <c r="T1127">
        <v>8853</v>
      </c>
      <c r="U1127">
        <v>24483</v>
      </c>
      <c r="V1127">
        <v>1</v>
      </c>
      <c r="W1127" t="s">
        <v>42</v>
      </c>
      <c r="X1127" t="s">
        <v>43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4</v>
      </c>
      <c r="AI1127">
        <v>1</v>
      </c>
      <c r="AJ1127">
        <v>3</v>
      </c>
    </row>
    <row r="1128" spans="1:36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tr">
        <v>yes</v>
      </c>
      <c r="S1128" t="s">
        <v>48</v>
      </c>
      <c r="T1128">
        <v>19331</v>
      </c>
      <c r="U1128">
        <v>19519</v>
      </c>
      <c r="V1128">
        <v>4</v>
      </c>
      <c r="W1128" t="s">
        <v>42</v>
      </c>
      <c r="X1128" t="s">
        <v>35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0</v>
      </c>
      <c r="AI1128">
        <v>0</v>
      </c>
      <c r="AJ1128">
        <v>0</v>
      </c>
    </row>
    <row r="1129" spans="1:36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tr">
        <v>yes</v>
      </c>
      <c r="S1129" t="s">
        <v>48</v>
      </c>
      <c r="T1129">
        <v>2073</v>
      </c>
      <c r="U1129">
        <v>12826</v>
      </c>
      <c r="V1129">
        <v>2</v>
      </c>
      <c r="W1129" t="s">
        <v>42</v>
      </c>
      <c r="X1129" t="s">
        <v>43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</row>
    <row r="1130" spans="1:36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tr">
        <v>no</v>
      </c>
      <c r="S1130" t="s">
        <v>48</v>
      </c>
      <c r="T1130">
        <v>5562</v>
      </c>
      <c r="U1130">
        <v>19711</v>
      </c>
      <c r="V1130">
        <v>3</v>
      </c>
      <c r="W1130" t="s">
        <v>42</v>
      </c>
      <c r="X1130" t="s">
        <v>35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2</v>
      </c>
      <c r="AI1130">
        <v>0</v>
      </c>
      <c r="AJ1130">
        <v>2</v>
      </c>
    </row>
    <row r="1131" spans="1:36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tr">
        <v>yes</v>
      </c>
      <c r="S1131" t="s">
        <v>41</v>
      </c>
      <c r="T1131">
        <v>19613</v>
      </c>
      <c r="U1131">
        <v>26362</v>
      </c>
      <c r="V1131">
        <v>8</v>
      </c>
      <c r="W1131" t="s">
        <v>42</v>
      </c>
      <c r="X1131" t="s">
        <v>43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0</v>
      </c>
      <c r="AI1131">
        <v>0</v>
      </c>
      <c r="AJ1131">
        <v>1</v>
      </c>
    </row>
    <row r="1132" spans="1:36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tr">
        <v>yes</v>
      </c>
      <c r="S1132" t="s">
        <v>48</v>
      </c>
      <c r="T1132">
        <v>3407</v>
      </c>
      <c r="U1132">
        <v>25348</v>
      </c>
      <c r="V1132">
        <v>1</v>
      </c>
      <c r="W1132" t="s">
        <v>42</v>
      </c>
      <c r="X1132" t="s">
        <v>43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9</v>
      </c>
      <c r="AI1132">
        <v>6</v>
      </c>
      <c r="AJ1132">
        <v>8</v>
      </c>
    </row>
    <row r="1133" spans="1:36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tr">
        <v>yes</v>
      </c>
      <c r="S1133" t="s">
        <v>48</v>
      </c>
      <c r="T1133">
        <v>5063</v>
      </c>
      <c r="U1133">
        <v>15332</v>
      </c>
      <c r="V1133">
        <v>1</v>
      </c>
      <c r="W1133" t="s">
        <v>42</v>
      </c>
      <c r="X1133" t="s">
        <v>43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2</v>
      </c>
      <c r="AI1133">
        <v>7</v>
      </c>
      <c r="AJ1133">
        <v>7</v>
      </c>
    </row>
    <row r="1134" spans="1:36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tr">
        <v>no</v>
      </c>
      <c r="S1134" t="s">
        <v>48</v>
      </c>
      <c r="T1134">
        <v>4639</v>
      </c>
      <c r="U1134">
        <v>11262</v>
      </c>
      <c r="V1134">
        <v>1</v>
      </c>
      <c r="W1134" t="s">
        <v>42</v>
      </c>
      <c r="X1134" t="s">
        <v>43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4</v>
      </c>
      <c r="AI1134">
        <v>1</v>
      </c>
      <c r="AJ1134">
        <v>2</v>
      </c>
    </row>
    <row r="1135" spans="1:36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tr">
        <v>no</v>
      </c>
      <c r="S1135" t="s">
        <v>52</v>
      </c>
      <c r="T1135">
        <v>4876</v>
      </c>
      <c r="U1135">
        <v>5855</v>
      </c>
      <c r="V1135">
        <v>5</v>
      </c>
      <c r="W1135" t="s">
        <v>42</v>
      </c>
      <c r="X1135" t="s">
        <v>43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4</v>
      </c>
      <c r="AI1135">
        <v>0</v>
      </c>
      <c r="AJ1135">
        <v>2</v>
      </c>
    </row>
    <row r="1136" spans="1:36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tr">
        <v>yes</v>
      </c>
      <c r="S1136" t="s">
        <v>48</v>
      </c>
      <c r="T1136">
        <v>2690</v>
      </c>
      <c r="U1136">
        <v>7713</v>
      </c>
      <c r="V1136">
        <v>1</v>
      </c>
      <c r="W1136" t="s">
        <v>42</v>
      </c>
      <c r="X1136" t="s">
        <v>43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1</v>
      </c>
    </row>
    <row r="1137" spans="1:36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tr">
        <v>no</v>
      </c>
      <c r="S1137" t="s">
        <v>41</v>
      </c>
      <c r="T1137">
        <v>17567</v>
      </c>
      <c r="U1137">
        <v>3156</v>
      </c>
      <c r="V1137">
        <v>1</v>
      </c>
      <c r="W1137" t="s">
        <v>42</v>
      </c>
      <c r="X1137" t="s">
        <v>43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0</v>
      </c>
      <c r="AI1137">
        <v>0</v>
      </c>
      <c r="AJ1137">
        <v>12</v>
      </c>
    </row>
    <row r="1138" spans="1:36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tr">
        <v>no</v>
      </c>
      <c r="S1138" t="s">
        <v>48</v>
      </c>
      <c r="T1138">
        <v>2408</v>
      </c>
      <c r="U1138">
        <v>7324</v>
      </c>
      <c r="V1138">
        <v>1</v>
      </c>
      <c r="W1138" t="s">
        <v>42</v>
      </c>
      <c r="X1138" t="s">
        <v>35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1</v>
      </c>
      <c r="AI1138">
        <v>0</v>
      </c>
      <c r="AJ1138">
        <v>0</v>
      </c>
    </row>
    <row r="1139" spans="1:36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tr">
        <v>yes</v>
      </c>
      <c r="S1139" t="s">
        <v>48</v>
      </c>
      <c r="T1139">
        <v>2814</v>
      </c>
      <c r="U1139">
        <v>10293</v>
      </c>
      <c r="V1139">
        <v>1</v>
      </c>
      <c r="W1139" t="s">
        <v>42</v>
      </c>
      <c r="X1139" t="s">
        <v>35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2</v>
      </c>
      <c r="AI1139">
        <v>1</v>
      </c>
      <c r="AJ1139">
        <v>3</v>
      </c>
    </row>
    <row r="1140" spans="1:36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tr">
        <v>yes</v>
      </c>
      <c r="S1140" t="s">
        <v>48</v>
      </c>
      <c r="T1140">
        <v>11245</v>
      </c>
      <c r="U1140">
        <v>20689</v>
      </c>
      <c r="V1140">
        <v>2</v>
      </c>
      <c r="W1140" t="s">
        <v>42</v>
      </c>
      <c r="X1140" t="s">
        <v>35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8</v>
      </c>
      <c r="AI1140">
        <v>12</v>
      </c>
      <c r="AJ1140">
        <v>13</v>
      </c>
    </row>
    <row r="1141" spans="1:36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tr">
        <v>yes</v>
      </c>
      <c r="S1141" t="s">
        <v>48</v>
      </c>
      <c r="T1141">
        <v>3312</v>
      </c>
      <c r="U1141">
        <v>18783</v>
      </c>
      <c r="V1141">
        <v>3</v>
      </c>
      <c r="W1141" t="s">
        <v>42</v>
      </c>
      <c r="X1141" t="s">
        <v>43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2</v>
      </c>
      <c r="AI1141">
        <v>0</v>
      </c>
      <c r="AJ1141">
        <v>2</v>
      </c>
    </row>
    <row r="1142" spans="1:36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tr">
        <v>yes</v>
      </c>
      <c r="S1142" t="s">
        <v>52</v>
      </c>
      <c r="T1142">
        <v>19049</v>
      </c>
      <c r="U1142">
        <v>3549</v>
      </c>
      <c r="V1142">
        <v>0</v>
      </c>
      <c r="W1142" t="s">
        <v>42</v>
      </c>
      <c r="X1142" t="s">
        <v>35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7</v>
      </c>
      <c r="AI1142">
        <v>1</v>
      </c>
      <c r="AJ1142">
        <v>10</v>
      </c>
    </row>
    <row r="1143" spans="1:36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tr">
        <v>no</v>
      </c>
      <c r="S1143" t="s">
        <v>48</v>
      </c>
      <c r="T1143">
        <v>2141</v>
      </c>
      <c r="U1143">
        <v>5348</v>
      </c>
      <c r="V1143">
        <v>1</v>
      </c>
      <c r="W1143" t="s">
        <v>42</v>
      </c>
      <c r="X1143" t="s">
        <v>43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4</v>
      </c>
      <c r="AI1143">
        <v>1</v>
      </c>
      <c r="AJ1143">
        <v>1</v>
      </c>
    </row>
    <row r="1144" spans="1:36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tr">
        <v>no</v>
      </c>
      <c r="S1144" t="s">
        <v>41</v>
      </c>
      <c r="T1144">
        <v>5769</v>
      </c>
      <c r="U1144">
        <v>23447</v>
      </c>
      <c r="V1144">
        <v>1</v>
      </c>
      <c r="W1144" t="s">
        <v>42</v>
      </c>
      <c r="X1144" t="s">
        <v>35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7</v>
      </c>
      <c r="AI1144">
        <v>1</v>
      </c>
      <c r="AJ1144">
        <v>4</v>
      </c>
    </row>
    <row r="1145" spans="1:36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tr">
        <v>no</v>
      </c>
      <c r="S1145" t="s">
        <v>48</v>
      </c>
      <c r="T1145">
        <v>4385</v>
      </c>
      <c r="U1145">
        <v>24162</v>
      </c>
      <c r="V1145">
        <v>1</v>
      </c>
      <c r="W1145" t="s">
        <v>42</v>
      </c>
      <c r="X1145" t="s">
        <v>43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7</v>
      </c>
      <c r="AI1145">
        <v>4</v>
      </c>
      <c r="AJ1145">
        <v>5</v>
      </c>
    </row>
    <row r="1146" spans="1:36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tr">
        <v>no</v>
      </c>
      <c r="S1146" t="s">
        <v>41</v>
      </c>
      <c r="T1146">
        <v>5332</v>
      </c>
      <c r="U1146">
        <v>21602</v>
      </c>
      <c r="V1146">
        <v>7</v>
      </c>
      <c r="W1146" t="s">
        <v>42</v>
      </c>
      <c r="X1146" t="s">
        <v>43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2</v>
      </c>
      <c r="AI1146">
        <v>0</v>
      </c>
      <c r="AJ1146">
        <v>3</v>
      </c>
    </row>
    <row r="1147" spans="1:36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tr">
        <v>yes</v>
      </c>
      <c r="S1147" t="s">
        <v>48</v>
      </c>
      <c r="T1147">
        <v>4663</v>
      </c>
      <c r="U1147">
        <v>12421</v>
      </c>
      <c r="V1147">
        <v>9</v>
      </c>
      <c r="W1147" t="s">
        <v>42</v>
      </c>
      <c r="X1147" t="s">
        <v>35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2</v>
      </c>
      <c r="AI1147">
        <v>1</v>
      </c>
      <c r="AJ1147">
        <v>1</v>
      </c>
    </row>
    <row r="1148" spans="1:36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tr">
        <v>yes</v>
      </c>
      <c r="S1148" t="s">
        <v>52</v>
      </c>
      <c r="T1148">
        <v>4724</v>
      </c>
      <c r="U1148">
        <v>17000</v>
      </c>
      <c r="V1148">
        <v>1</v>
      </c>
      <c r="W1148" t="s">
        <v>42</v>
      </c>
      <c r="X1148" t="s">
        <v>43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7</v>
      </c>
      <c r="AI1148">
        <v>7</v>
      </c>
      <c r="AJ1148">
        <v>2</v>
      </c>
    </row>
    <row r="1149" spans="1:36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tr">
        <v>no</v>
      </c>
      <c r="S1149" t="s">
        <v>48</v>
      </c>
      <c r="T1149">
        <v>3211</v>
      </c>
      <c r="U1149">
        <v>22102</v>
      </c>
      <c r="V1149">
        <v>1</v>
      </c>
      <c r="W1149" t="s">
        <v>42</v>
      </c>
      <c r="X1149" t="s">
        <v>43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6</v>
      </c>
      <c r="AI1149">
        <v>1</v>
      </c>
      <c r="AJ1149">
        <v>4</v>
      </c>
    </row>
    <row r="1150" spans="1:36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tr">
        <v>no</v>
      </c>
      <c r="S1150" t="s">
        <v>48</v>
      </c>
      <c r="T1150">
        <v>5377</v>
      </c>
      <c r="U1150">
        <v>3835</v>
      </c>
      <c r="V1150">
        <v>2</v>
      </c>
      <c r="W1150" t="s">
        <v>42</v>
      </c>
      <c r="X1150" t="s">
        <v>43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7</v>
      </c>
      <c r="AI1150">
        <v>7</v>
      </c>
      <c r="AJ1150">
        <v>7</v>
      </c>
    </row>
    <row r="1151" spans="1:36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tr">
        <v>no</v>
      </c>
      <c r="S1151" t="s">
        <v>52</v>
      </c>
      <c r="T1151">
        <v>4066</v>
      </c>
      <c r="U1151">
        <v>16290</v>
      </c>
      <c r="V1151">
        <v>1</v>
      </c>
      <c r="W1151" t="s">
        <v>42</v>
      </c>
      <c r="X1151" t="s">
        <v>43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7</v>
      </c>
      <c r="AI1151">
        <v>0</v>
      </c>
      <c r="AJ1151">
        <v>7</v>
      </c>
    </row>
    <row r="1152" spans="1:36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tr">
        <v>no</v>
      </c>
      <c r="S1152" t="s">
        <v>48</v>
      </c>
      <c r="T1152">
        <v>5208</v>
      </c>
      <c r="U1152">
        <v>26312</v>
      </c>
      <c r="V1152">
        <v>1</v>
      </c>
      <c r="W1152" t="s">
        <v>42</v>
      </c>
      <c r="X1152" t="s">
        <v>43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15</v>
      </c>
      <c r="AI1152">
        <v>1</v>
      </c>
      <c r="AJ1152">
        <v>10</v>
      </c>
    </row>
    <row r="1153" spans="1:36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tr">
        <v>no</v>
      </c>
      <c r="S1153" t="s">
        <v>52</v>
      </c>
      <c r="T1153">
        <v>4877</v>
      </c>
      <c r="U1153">
        <v>20460</v>
      </c>
      <c r="V1153">
        <v>0</v>
      </c>
      <c r="W1153" t="s">
        <v>42</v>
      </c>
      <c r="X1153" t="s">
        <v>43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3</v>
      </c>
      <c r="AI1153">
        <v>0</v>
      </c>
      <c r="AJ1153">
        <v>0</v>
      </c>
    </row>
    <row r="1154" spans="1:36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tr">
        <v>yes</v>
      </c>
      <c r="S1154" t="s">
        <v>41</v>
      </c>
      <c r="T1154">
        <v>3117</v>
      </c>
      <c r="U1154">
        <v>26009</v>
      </c>
      <c r="V1154">
        <v>1</v>
      </c>
      <c r="W1154" t="s">
        <v>42</v>
      </c>
      <c r="X1154" t="s">
        <v>43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2</v>
      </c>
      <c r="AI1154">
        <v>2</v>
      </c>
      <c r="AJ1154">
        <v>2</v>
      </c>
    </row>
    <row r="1155" spans="1:36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tr">
        <v>yes</v>
      </c>
      <c r="S1155" t="s">
        <v>41</v>
      </c>
      <c r="T1155">
        <v>1569</v>
      </c>
      <c r="U1155">
        <v>18420</v>
      </c>
      <c r="V1155">
        <v>1</v>
      </c>
      <c r="W1155" t="s">
        <v>42</v>
      </c>
      <c r="X1155" t="s">
        <v>35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</row>
    <row r="1156" spans="1:36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tr">
        <v>yes</v>
      </c>
      <c r="S1156" t="s">
        <v>48</v>
      </c>
      <c r="T1156">
        <v>19658</v>
      </c>
      <c r="U1156">
        <v>5220</v>
      </c>
      <c r="V1156">
        <v>3</v>
      </c>
      <c r="W1156" t="s">
        <v>42</v>
      </c>
      <c r="X1156" t="s">
        <v>43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</v>
      </c>
      <c r="AI1156">
        <v>1</v>
      </c>
      <c r="AJ1156">
        <v>0</v>
      </c>
    </row>
    <row r="1157" spans="1:36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tr">
        <v>yes</v>
      </c>
      <c r="S1157" t="s">
        <v>52</v>
      </c>
      <c r="T1157">
        <v>3069</v>
      </c>
      <c r="U1157">
        <v>10302</v>
      </c>
      <c r="V1157">
        <v>0</v>
      </c>
      <c r="W1157" t="s">
        <v>42</v>
      </c>
      <c r="X1157" t="s">
        <v>43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8</v>
      </c>
      <c r="AI1157">
        <v>0</v>
      </c>
      <c r="AJ1157">
        <v>7</v>
      </c>
    </row>
    <row r="1158" spans="1:36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tr">
        <v>yes</v>
      </c>
      <c r="S1158" t="s">
        <v>48</v>
      </c>
      <c r="T1158">
        <v>10435</v>
      </c>
      <c r="U1158">
        <v>25800</v>
      </c>
      <c r="V1158">
        <v>1</v>
      </c>
      <c r="W1158" t="s">
        <v>42</v>
      </c>
      <c r="X1158" t="s">
        <v>43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15</v>
      </c>
      <c r="AI1158">
        <v>14</v>
      </c>
      <c r="AJ1158">
        <v>12</v>
      </c>
    </row>
    <row r="1159" spans="1:36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tr">
        <v>yes</v>
      </c>
      <c r="S1159" t="s">
        <v>48</v>
      </c>
      <c r="T1159">
        <v>4148</v>
      </c>
      <c r="U1159">
        <v>12250</v>
      </c>
      <c r="V1159">
        <v>1</v>
      </c>
      <c r="W1159" t="s">
        <v>42</v>
      </c>
      <c r="X1159" t="s">
        <v>43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11</v>
      </c>
      <c r="AI1159">
        <v>2</v>
      </c>
      <c r="AJ1159">
        <v>9</v>
      </c>
    </row>
    <row r="1160" spans="1:36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tr">
        <v>yes</v>
      </c>
      <c r="S1160" t="s">
        <v>48</v>
      </c>
      <c r="T1160">
        <v>5768</v>
      </c>
      <c r="U1160">
        <v>26493</v>
      </c>
      <c r="V1160">
        <v>3</v>
      </c>
      <c r="W1160" t="s">
        <v>42</v>
      </c>
      <c r="X1160" t="s">
        <v>43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3</v>
      </c>
      <c r="AI1160">
        <v>0</v>
      </c>
      <c r="AJ1160">
        <v>2</v>
      </c>
    </row>
    <row r="1161" spans="1:36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tr">
        <v>yes</v>
      </c>
      <c r="S1161" t="s">
        <v>41</v>
      </c>
      <c r="T1161">
        <v>5042</v>
      </c>
      <c r="U1161">
        <v>3140</v>
      </c>
      <c r="V1161">
        <v>0</v>
      </c>
      <c r="W1161" t="s">
        <v>42</v>
      </c>
      <c r="X1161" t="s">
        <v>43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2</v>
      </c>
      <c r="AI1161">
        <v>3</v>
      </c>
      <c r="AJ1161">
        <v>8</v>
      </c>
    </row>
    <row r="1162" spans="1:36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tr">
        <v>yes</v>
      </c>
      <c r="S1162" t="s">
        <v>52</v>
      </c>
      <c r="T1162">
        <v>5770</v>
      </c>
      <c r="U1162">
        <v>5388</v>
      </c>
      <c r="V1162">
        <v>1</v>
      </c>
      <c r="W1162" t="s">
        <v>42</v>
      </c>
      <c r="X1162" t="s">
        <v>43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7</v>
      </c>
      <c r="AI1162">
        <v>3</v>
      </c>
      <c r="AJ1162">
        <v>9</v>
      </c>
    </row>
    <row r="1163" spans="1:36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tr">
        <v>yes</v>
      </c>
      <c r="S1163" t="s">
        <v>48</v>
      </c>
      <c r="T1163">
        <v>7756</v>
      </c>
      <c r="U1163">
        <v>14199</v>
      </c>
      <c r="V1163">
        <v>3</v>
      </c>
      <c r="W1163" t="s">
        <v>42</v>
      </c>
      <c r="X1163" t="s">
        <v>35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4</v>
      </c>
      <c r="AI1163">
        <v>0</v>
      </c>
      <c r="AJ1163">
        <v>2</v>
      </c>
    </row>
    <row r="1164" spans="1:36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tr">
        <v>no</v>
      </c>
      <c r="S1164" t="s">
        <v>48</v>
      </c>
      <c r="T1164">
        <v>10306</v>
      </c>
      <c r="U1164">
        <v>21530</v>
      </c>
      <c r="V1164">
        <v>9</v>
      </c>
      <c r="W1164" t="s">
        <v>42</v>
      </c>
      <c r="X1164" t="s">
        <v>43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12</v>
      </c>
      <c r="AI1164">
        <v>6</v>
      </c>
      <c r="AJ1164">
        <v>0</v>
      </c>
    </row>
    <row r="1165" spans="1:36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tr">
        <v>no</v>
      </c>
      <c r="S1165" t="s">
        <v>48</v>
      </c>
      <c r="T1165">
        <v>3936</v>
      </c>
      <c r="U1165">
        <v>9953</v>
      </c>
      <c r="V1165">
        <v>1</v>
      </c>
      <c r="W1165" t="s">
        <v>42</v>
      </c>
      <c r="X1165" t="s">
        <v>43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4</v>
      </c>
      <c r="AI1165">
        <v>7</v>
      </c>
      <c r="AJ1165">
        <v>7</v>
      </c>
    </row>
    <row r="1166" spans="1:36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tr">
        <v>yes</v>
      </c>
      <c r="S1166" t="s">
        <v>41</v>
      </c>
      <c r="T1166">
        <v>7945</v>
      </c>
      <c r="U1166">
        <v>19948</v>
      </c>
      <c r="V1166">
        <v>6</v>
      </c>
      <c r="W1166" t="s">
        <v>42</v>
      </c>
      <c r="X1166" t="s">
        <v>35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2</v>
      </c>
      <c r="AI1166">
        <v>3</v>
      </c>
      <c r="AJ1166">
        <v>3</v>
      </c>
    </row>
    <row r="1167" spans="1:36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tr">
        <v>yes</v>
      </c>
      <c r="S1167" t="s">
        <v>48</v>
      </c>
      <c r="T1167">
        <v>5743</v>
      </c>
      <c r="U1167">
        <v>10503</v>
      </c>
      <c r="V1167">
        <v>4</v>
      </c>
      <c r="W1167" t="s">
        <v>42</v>
      </c>
      <c r="X1167" t="s">
        <v>35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7</v>
      </c>
      <c r="AI1167">
        <v>0</v>
      </c>
      <c r="AJ1167">
        <v>2</v>
      </c>
    </row>
    <row r="1168" spans="1:36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tr">
        <v>yes</v>
      </c>
      <c r="S1168" t="s">
        <v>48</v>
      </c>
      <c r="T1168">
        <v>15202</v>
      </c>
      <c r="U1168">
        <v>5602</v>
      </c>
      <c r="V1168">
        <v>2</v>
      </c>
      <c r="W1168" t="s">
        <v>42</v>
      </c>
      <c r="X1168" t="s">
        <v>43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</v>
      </c>
      <c r="AI1168">
        <v>2</v>
      </c>
      <c r="AJ1168">
        <v>2</v>
      </c>
    </row>
    <row r="1169" spans="1:36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tr">
        <v>yes</v>
      </c>
      <c r="S1169" t="s">
        <v>52</v>
      </c>
      <c r="T1169">
        <v>5440</v>
      </c>
      <c r="U1169">
        <v>22098</v>
      </c>
      <c r="V1169">
        <v>6</v>
      </c>
      <c r="W1169" t="s">
        <v>42</v>
      </c>
      <c r="X1169" t="s">
        <v>35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2</v>
      </c>
    </row>
    <row r="1170" spans="1:36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tr">
        <v>yes</v>
      </c>
      <c r="S1170" t="s">
        <v>41</v>
      </c>
      <c r="T1170">
        <v>3760</v>
      </c>
      <c r="U1170">
        <v>17218</v>
      </c>
      <c r="V1170">
        <v>1</v>
      </c>
      <c r="W1170" t="s">
        <v>42</v>
      </c>
      <c r="X1170" t="s">
        <v>35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3</v>
      </c>
      <c r="AI1170">
        <v>1</v>
      </c>
      <c r="AJ1170">
        <v>3</v>
      </c>
    </row>
    <row r="1171" spans="1:36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tr">
        <v>yes</v>
      </c>
      <c r="S1171" t="s">
        <v>48</v>
      </c>
      <c r="T1171">
        <v>3517</v>
      </c>
      <c r="U1171">
        <v>22490</v>
      </c>
      <c r="V1171">
        <v>7</v>
      </c>
      <c r="W1171" t="s">
        <v>42</v>
      </c>
      <c r="X1171" t="s">
        <v>43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0</v>
      </c>
      <c r="AJ1171">
        <v>2</v>
      </c>
    </row>
    <row r="1172" spans="1:36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tr">
        <v>yes</v>
      </c>
      <c r="S1172" t="s">
        <v>41</v>
      </c>
      <c r="T1172">
        <v>2580</v>
      </c>
      <c r="U1172">
        <v>6297</v>
      </c>
      <c r="V1172">
        <v>2</v>
      </c>
      <c r="W1172" t="s">
        <v>42</v>
      </c>
      <c r="X1172" t="s">
        <v>43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1</v>
      </c>
      <c r="AJ1172">
        <v>2</v>
      </c>
    </row>
    <row r="1173" spans="1:36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tr">
        <v>no</v>
      </c>
      <c r="S1173" t="s">
        <v>41</v>
      </c>
      <c r="T1173">
        <v>2166</v>
      </c>
      <c r="U1173">
        <v>3339</v>
      </c>
      <c r="V1173">
        <v>3</v>
      </c>
      <c r="W1173" t="s">
        <v>42</v>
      </c>
      <c r="X1173" t="s">
        <v>35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2</v>
      </c>
      <c r="AI1173">
        <v>0</v>
      </c>
      <c r="AJ1173">
        <v>3</v>
      </c>
    </row>
    <row r="1174" spans="1:36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tr">
        <v>yes</v>
      </c>
      <c r="S1174" t="s">
        <v>41</v>
      </c>
      <c r="T1174">
        <v>5869</v>
      </c>
      <c r="U1174">
        <v>23413</v>
      </c>
      <c r="V1174">
        <v>9</v>
      </c>
      <c r="W1174" t="s">
        <v>42</v>
      </c>
      <c r="X1174" t="s">
        <v>43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2</v>
      </c>
      <c r="AI1174">
        <v>1</v>
      </c>
      <c r="AJ1174">
        <v>4</v>
      </c>
    </row>
    <row r="1175" spans="1:36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tr">
        <v>no</v>
      </c>
      <c r="S1175" t="s">
        <v>48</v>
      </c>
      <c r="T1175">
        <v>8008</v>
      </c>
      <c r="U1175">
        <v>22792</v>
      </c>
      <c r="V1175">
        <v>4</v>
      </c>
      <c r="W1175" t="s">
        <v>42</v>
      </c>
      <c r="X1175" t="s">
        <v>43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2</v>
      </c>
      <c r="AI1175">
        <v>0</v>
      </c>
      <c r="AJ1175">
        <v>2</v>
      </c>
    </row>
    <row r="1176" spans="1:36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tr">
        <v>yes</v>
      </c>
      <c r="S1176" t="s">
        <v>52</v>
      </c>
      <c r="T1176">
        <v>5206</v>
      </c>
      <c r="U1176">
        <v>4973</v>
      </c>
      <c r="V1176">
        <v>1</v>
      </c>
      <c r="W1176" t="s">
        <v>42</v>
      </c>
      <c r="X1176" t="s">
        <v>43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7</v>
      </c>
      <c r="AI1176">
        <v>0</v>
      </c>
      <c r="AJ1176">
        <v>7</v>
      </c>
    </row>
    <row r="1177" spans="1:36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tr">
        <v>no</v>
      </c>
      <c r="S1177" t="s">
        <v>48</v>
      </c>
      <c r="T1177">
        <v>5295</v>
      </c>
      <c r="U1177">
        <v>7693</v>
      </c>
      <c r="V1177">
        <v>4</v>
      </c>
      <c r="W1177" t="s">
        <v>42</v>
      </c>
      <c r="X1177" t="s">
        <v>43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4</v>
      </c>
      <c r="AI1177">
        <v>1</v>
      </c>
      <c r="AJ1177">
        <v>0</v>
      </c>
    </row>
    <row r="1178" spans="1:36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tr">
        <v>no</v>
      </c>
      <c r="S1178" t="s">
        <v>48</v>
      </c>
      <c r="T1178">
        <v>16413</v>
      </c>
      <c r="U1178">
        <v>3498</v>
      </c>
      <c r="V1178">
        <v>3</v>
      </c>
      <c r="W1178" t="s">
        <v>42</v>
      </c>
      <c r="X1178" t="s">
        <v>43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</v>
      </c>
      <c r="AI1178">
        <v>1</v>
      </c>
      <c r="AJ1178">
        <v>2</v>
      </c>
    </row>
    <row r="1179" spans="1:36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tr">
        <v>no</v>
      </c>
      <c r="S1179" t="s">
        <v>52</v>
      </c>
      <c r="T1179">
        <v>13269</v>
      </c>
      <c r="U1179">
        <v>21981</v>
      </c>
      <c r="V1179">
        <v>5</v>
      </c>
      <c r="W1179" t="s">
        <v>42</v>
      </c>
      <c r="X1179" t="s">
        <v>43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11</v>
      </c>
      <c r="AI1179">
        <v>1</v>
      </c>
      <c r="AJ1179">
        <v>11</v>
      </c>
    </row>
    <row r="1180" spans="1:36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tr">
        <v>yes</v>
      </c>
      <c r="S1180" t="s">
        <v>41</v>
      </c>
      <c r="T1180">
        <v>2783</v>
      </c>
      <c r="U1180">
        <v>13251</v>
      </c>
      <c r="V1180">
        <v>1</v>
      </c>
      <c r="W1180" t="s">
        <v>42</v>
      </c>
      <c r="X1180" t="s">
        <v>43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2</v>
      </c>
      <c r="AI1180">
        <v>2</v>
      </c>
      <c r="AJ1180">
        <v>2</v>
      </c>
    </row>
    <row r="1181" spans="1:36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tr">
        <v>no</v>
      </c>
      <c r="S1181" t="s">
        <v>52</v>
      </c>
      <c r="T1181">
        <v>5433</v>
      </c>
      <c r="U1181">
        <v>19332</v>
      </c>
      <c r="V1181">
        <v>1</v>
      </c>
      <c r="W1181" t="s">
        <v>42</v>
      </c>
      <c r="X1181" t="s">
        <v>43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8</v>
      </c>
      <c r="AI1181">
        <v>7</v>
      </c>
      <c r="AJ1181">
        <v>9</v>
      </c>
    </row>
    <row r="1182" spans="1:36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tr">
        <v>no</v>
      </c>
      <c r="S1182" t="s">
        <v>41</v>
      </c>
      <c r="T1182">
        <v>2013</v>
      </c>
      <c r="U1182">
        <v>10950</v>
      </c>
      <c r="V1182">
        <v>2</v>
      </c>
      <c r="W1182" t="s">
        <v>42</v>
      </c>
      <c r="X1182" t="s">
        <v>43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3</v>
      </c>
      <c r="AI1182">
        <v>1</v>
      </c>
      <c r="AJ1182">
        <v>3</v>
      </c>
    </row>
    <row r="1183" spans="1:36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tr">
        <v>yes</v>
      </c>
      <c r="S1183" t="s">
        <v>48</v>
      </c>
      <c r="T1183">
        <v>13966</v>
      </c>
      <c r="U1183">
        <v>11652</v>
      </c>
      <c r="V1183">
        <v>2</v>
      </c>
      <c r="W1183" t="s">
        <v>42</v>
      </c>
      <c r="X1183" t="s">
        <v>35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11</v>
      </c>
      <c r="AI1183">
        <v>2</v>
      </c>
      <c r="AJ1183">
        <v>12</v>
      </c>
    </row>
    <row r="1184" spans="1:36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tr">
        <v>yes</v>
      </c>
      <c r="S1184" t="s">
        <v>48</v>
      </c>
      <c r="T1184">
        <v>4374</v>
      </c>
      <c r="U1184">
        <v>15411</v>
      </c>
      <c r="V1184">
        <v>0</v>
      </c>
      <c r="W1184" t="s">
        <v>42</v>
      </c>
      <c r="X1184" t="s">
        <v>43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2</v>
      </c>
      <c r="AI1184">
        <v>1</v>
      </c>
      <c r="AJ1184">
        <v>2</v>
      </c>
    </row>
    <row r="1185" spans="1:36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tr">
        <v>no</v>
      </c>
      <c r="S1185" t="s">
        <v>52</v>
      </c>
      <c r="T1185">
        <v>6842</v>
      </c>
      <c r="U1185">
        <v>26308</v>
      </c>
      <c r="V1185">
        <v>6</v>
      </c>
      <c r="W1185" t="s">
        <v>42</v>
      </c>
      <c r="X1185" t="s">
        <v>43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4</v>
      </c>
      <c r="AI1185">
        <v>0</v>
      </c>
      <c r="AJ1185">
        <v>4</v>
      </c>
    </row>
    <row r="1186" spans="1:36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tr">
        <v>yes</v>
      </c>
      <c r="S1186" t="s">
        <v>48</v>
      </c>
      <c r="T1186">
        <v>17426</v>
      </c>
      <c r="U1186">
        <v>18685</v>
      </c>
      <c r="V1186">
        <v>3</v>
      </c>
      <c r="W1186" t="s">
        <v>42</v>
      </c>
      <c r="X1186" t="s">
        <v>43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8</v>
      </c>
      <c r="AI1186">
        <v>4</v>
      </c>
      <c r="AJ1186">
        <v>7</v>
      </c>
    </row>
    <row r="1187" spans="1:36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tr">
        <v>yes</v>
      </c>
      <c r="S1187" t="s">
        <v>48</v>
      </c>
      <c r="T1187">
        <v>17603</v>
      </c>
      <c r="U1187">
        <v>3525</v>
      </c>
      <c r="V1187">
        <v>1</v>
      </c>
      <c r="W1187" t="s">
        <v>42</v>
      </c>
      <c r="X1187" t="s">
        <v>43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10</v>
      </c>
      <c r="AI1187">
        <v>6</v>
      </c>
      <c r="AJ1187">
        <v>11</v>
      </c>
    </row>
    <row r="1188" spans="1:36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tr">
        <v>yes</v>
      </c>
      <c r="S1188" t="s">
        <v>41</v>
      </c>
      <c r="T1188">
        <v>4581</v>
      </c>
      <c r="U1188">
        <v>10414</v>
      </c>
      <c r="V1188">
        <v>3</v>
      </c>
      <c r="W1188" t="s">
        <v>42</v>
      </c>
      <c r="X1188" t="s">
        <v>35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9</v>
      </c>
      <c r="AI1188">
        <v>6</v>
      </c>
      <c r="AJ1188">
        <v>7</v>
      </c>
    </row>
    <row r="1189" spans="1:36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tr">
        <v>yes</v>
      </c>
      <c r="S1189" t="s">
        <v>48</v>
      </c>
      <c r="T1189">
        <v>4735</v>
      </c>
      <c r="U1189">
        <v>9867</v>
      </c>
      <c r="V1189">
        <v>7</v>
      </c>
      <c r="W1189" t="s">
        <v>42</v>
      </c>
      <c r="X1189" t="s">
        <v>43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11</v>
      </c>
      <c r="AI1189">
        <v>2</v>
      </c>
      <c r="AJ1189">
        <v>9</v>
      </c>
    </row>
    <row r="1190" spans="1:36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tr">
        <v>no</v>
      </c>
      <c r="S1190" t="s">
        <v>52</v>
      </c>
      <c r="T1190">
        <v>4187</v>
      </c>
      <c r="U1190">
        <v>3356</v>
      </c>
      <c r="V1190">
        <v>1</v>
      </c>
      <c r="W1190" t="s">
        <v>42</v>
      </c>
      <c r="X1190" t="s">
        <v>35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9</v>
      </c>
    </row>
    <row r="1191" spans="1:36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tr">
        <v>yes</v>
      </c>
      <c r="S1191" t="s">
        <v>52</v>
      </c>
      <c r="T1191">
        <v>5505</v>
      </c>
      <c r="U1191">
        <v>3921</v>
      </c>
      <c r="V1191">
        <v>1</v>
      </c>
      <c r="W1191" t="s">
        <v>42</v>
      </c>
      <c r="X1191" t="s">
        <v>43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2</v>
      </c>
      <c r="AI1191">
        <v>0</v>
      </c>
      <c r="AJ1191">
        <v>4</v>
      </c>
    </row>
    <row r="1192" spans="1:36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tr">
        <v>no</v>
      </c>
      <c r="S1192" t="s">
        <v>52</v>
      </c>
      <c r="T1192">
        <v>5470</v>
      </c>
      <c r="U1192">
        <v>25518</v>
      </c>
      <c r="V1192">
        <v>0</v>
      </c>
      <c r="W1192" t="s">
        <v>42</v>
      </c>
      <c r="X1192" t="s">
        <v>43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5</v>
      </c>
      <c r="AI1192">
        <v>1</v>
      </c>
      <c r="AJ1192">
        <v>6</v>
      </c>
    </row>
    <row r="1193" spans="1:36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tr">
        <v>yes</v>
      </c>
      <c r="S1193" t="s">
        <v>48</v>
      </c>
      <c r="T1193">
        <v>5476</v>
      </c>
      <c r="U1193">
        <v>22589</v>
      </c>
      <c r="V1193">
        <v>1</v>
      </c>
      <c r="W1193" t="s">
        <v>42</v>
      </c>
      <c r="X1193" t="s">
        <v>43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2</v>
      </c>
    </row>
    <row r="1194" spans="1:36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tr">
        <v>no</v>
      </c>
      <c r="S1194" t="s">
        <v>52</v>
      </c>
      <c r="T1194">
        <v>2587</v>
      </c>
      <c r="U1194">
        <v>24941</v>
      </c>
      <c r="V1194">
        <v>4</v>
      </c>
      <c r="W1194" t="s">
        <v>42</v>
      </c>
      <c r="X1194" t="s">
        <v>35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2</v>
      </c>
    </row>
    <row r="1195" spans="1:36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tr">
        <v>no</v>
      </c>
      <c r="S1195" t="s">
        <v>41</v>
      </c>
      <c r="T1195">
        <v>2440</v>
      </c>
      <c r="U1195">
        <v>23826</v>
      </c>
      <c r="V1195">
        <v>1</v>
      </c>
      <c r="W1195" t="s">
        <v>42</v>
      </c>
      <c r="X1195" t="s">
        <v>43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3</v>
      </c>
      <c r="AI1195">
        <v>3</v>
      </c>
      <c r="AJ1195">
        <v>3</v>
      </c>
    </row>
    <row r="1196" spans="1:36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tr">
        <v>no</v>
      </c>
      <c r="S1196" t="s">
        <v>52</v>
      </c>
      <c r="T1196">
        <v>15972</v>
      </c>
      <c r="U1196">
        <v>21086</v>
      </c>
      <c r="V1196">
        <v>6</v>
      </c>
      <c r="W1196" t="s">
        <v>42</v>
      </c>
      <c r="X1196" t="s">
        <v>43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</v>
      </c>
      <c r="AI1196">
        <v>1</v>
      </c>
      <c r="AJ1196">
        <v>2</v>
      </c>
    </row>
    <row r="1197" spans="1:36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tr">
        <v>yes</v>
      </c>
      <c r="S1197" t="s">
        <v>41</v>
      </c>
      <c r="T1197">
        <v>15379</v>
      </c>
      <c r="U1197">
        <v>22384</v>
      </c>
      <c r="V1197">
        <v>4</v>
      </c>
      <c r="W1197" t="s">
        <v>42</v>
      </c>
      <c r="X1197" t="s">
        <v>43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7</v>
      </c>
      <c r="AI1197">
        <v>0</v>
      </c>
      <c r="AJ1197">
        <v>0</v>
      </c>
    </row>
    <row r="1198" spans="1:36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tr">
        <v>yes</v>
      </c>
      <c r="S1198" t="s">
        <v>41</v>
      </c>
      <c r="T1198">
        <v>7082</v>
      </c>
      <c r="U1198">
        <v>11591</v>
      </c>
      <c r="V1198">
        <v>3</v>
      </c>
      <c r="W1198" t="s">
        <v>42</v>
      </c>
      <c r="X1198" t="s">
        <v>35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0</v>
      </c>
      <c r="AI1198">
        <v>0</v>
      </c>
      <c r="AJ1198">
        <v>2</v>
      </c>
    </row>
    <row r="1199" spans="1:36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tr">
        <v>no</v>
      </c>
      <c r="S1199" t="s">
        <v>41</v>
      </c>
      <c r="T1199">
        <v>2728</v>
      </c>
      <c r="U1199">
        <v>21082</v>
      </c>
      <c r="V1199">
        <v>1</v>
      </c>
      <c r="W1199" t="s">
        <v>42</v>
      </c>
      <c r="X1199" t="s">
        <v>43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2</v>
      </c>
      <c r="AI1199">
        <v>0</v>
      </c>
      <c r="AJ1199">
        <v>2</v>
      </c>
    </row>
    <row r="1200" spans="1:36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tr">
        <v>yes</v>
      </c>
      <c r="S1200" t="s">
        <v>52</v>
      </c>
      <c r="T1200">
        <v>5368</v>
      </c>
      <c r="U1200">
        <v>16130</v>
      </c>
      <c r="V1200">
        <v>1</v>
      </c>
      <c r="W1200" t="s">
        <v>42</v>
      </c>
      <c r="X1200" t="s">
        <v>35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5</v>
      </c>
      <c r="AI1200">
        <v>1</v>
      </c>
      <c r="AJ1200">
        <v>2</v>
      </c>
    </row>
    <row r="1201" spans="1:36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tr">
        <v>yes</v>
      </c>
      <c r="S1201" t="s">
        <v>48</v>
      </c>
      <c r="T1201">
        <v>5347</v>
      </c>
      <c r="U1201">
        <v>7419</v>
      </c>
      <c r="V1201">
        <v>6</v>
      </c>
      <c r="W1201" t="s">
        <v>42</v>
      </c>
      <c r="X1201" t="s">
        <v>43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2</v>
      </c>
      <c r="AI1201">
        <v>0</v>
      </c>
      <c r="AJ1201">
        <v>2</v>
      </c>
    </row>
    <row r="1202" spans="1:36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tr">
        <v>yes</v>
      </c>
      <c r="S1202" t="s">
        <v>52</v>
      </c>
      <c r="T1202">
        <v>3195</v>
      </c>
      <c r="U1202">
        <v>4167</v>
      </c>
      <c r="V1202">
        <v>4</v>
      </c>
      <c r="W1202" t="s">
        <v>42</v>
      </c>
      <c r="X1202" t="s">
        <v>35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2</v>
      </c>
      <c r="AI1202">
        <v>2</v>
      </c>
      <c r="AJ1202">
        <v>2</v>
      </c>
    </row>
    <row r="1203" spans="1:36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tr">
        <v>yes</v>
      </c>
      <c r="S1203" t="s">
        <v>41</v>
      </c>
      <c r="T1203">
        <v>3989</v>
      </c>
      <c r="U1203">
        <v>20586</v>
      </c>
      <c r="V1203">
        <v>1</v>
      </c>
      <c r="W1203" t="s">
        <v>42</v>
      </c>
      <c r="X1203" t="s">
        <v>35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4</v>
      </c>
      <c r="AI1203">
        <v>1</v>
      </c>
      <c r="AJ1203">
        <v>2</v>
      </c>
    </row>
    <row r="1204" spans="1:36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tr">
        <v>yes</v>
      </c>
      <c r="S1204" t="s">
        <v>48</v>
      </c>
      <c r="T1204">
        <v>3306</v>
      </c>
      <c r="U1204">
        <v>26176</v>
      </c>
      <c r="V1204">
        <v>7</v>
      </c>
      <c r="W1204" t="s">
        <v>42</v>
      </c>
      <c r="X1204" t="s">
        <v>43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0</v>
      </c>
      <c r="AI1204">
        <v>0</v>
      </c>
      <c r="AJ1204">
        <v>0</v>
      </c>
    </row>
    <row r="1205" spans="1:36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tr">
        <v>yes</v>
      </c>
      <c r="S1205" t="s">
        <v>48</v>
      </c>
      <c r="T1205">
        <v>7005</v>
      </c>
      <c r="U1205">
        <v>3458</v>
      </c>
      <c r="V1205">
        <v>3</v>
      </c>
      <c r="W1205" t="s">
        <v>42</v>
      </c>
      <c r="X1205" t="s">
        <v>43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3</v>
      </c>
      <c r="AI1205">
        <v>1</v>
      </c>
      <c r="AJ1205">
        <v>2</v>
      </c>
    </row>
    <row r="1206" spans="1:36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tr">
        <v>yes</v>
      </c>
      <c r="S1206" t="s">
        <v>48</v>
      </c>
      <c r="T1206">
        <v>2655</v>
      </c>
      <c r="U1206">
        <v>11740</v>
      </c>
      <c r="V1206">
        <v>2</v>
      </c>
      <c r="W1206" t="s">
        <v>42</v>
      </c>
      <c r="X1206" t="s">
        <v>35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7</v>
      </c>
      <c r="AI1206">
        <v>7</v>
      </c>
      <c r="AJ1206">
        <v>7</v>
      </c>
    </row>
    <row r="1207" spans="1:36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tr">
        <v>no</v>
      </c>
      <c r="S1207" t="s">
        <v>41</v>
      </c>
      <c r="T1207">
        <v>1393</v>
      </c>
      <c r="U1207">
        <v>24852</v>
      </c>
      <c r="V1207">
        <v>1</v>
      </c>
      <c r="W1207" t="s">
        <v>42</v>
      </c>
      <c r="X1207" t="s">
        <v>43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</row>
    <row r="1208" spans="1:36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tr">
        <v>yes</v>
      </c>
      <c r="S1208" t="s">
        <v>41</v>
      </c>
      <c r="T1208">
        <v>2570</v>
      </c>
      <c r="U1208">
        <v>11925</v>
      </c>
      <c r="V1208">
        <v>1</v>
      </c>
      <c r="W1208" t="s">
        <v>42</v>
      </c>
      <c r="X1208" t="s">
        <v>43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7</v>
      </c>
      <c r="AI1208">
        <v>5</v>
      </c>
      <c r="AJ1208">
        <v>7</v>
      </c>
    </row>
    <row r="1209" spans="1:36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tr">
        <v>no</v>
      </c>
      <c r="S1209" t="s">
        <v>52</v>
      </c>
      <c r="T1209">
        <v>3537</v>
      </c>
      <c r="U1209">
        <v>23737</v>
      </c>
      <c r="V1209">
        <v>5</v>
      </c>
      <c r="W1209" t="s">
        <v>42</v>
      </c>
      <c r="X1209" t="s">
        <v>43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2</v>
      </c>
      <c r="AI1209">
        <v>1</v>
      </c>
      <c r="AJ1209">
        <v>2</v>
      </c>
    </row>
    <row r="1210" spans="1:36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tr">
        <v>yes</v>
      </c>
      <c r="S1210" t="s">
        <v>48</v>
      </c>
      <c r="T1210">
        <v>3986</v>
      </c>
      <c r="U1210">
        <v>11912</v>
      </c>
      <c r="V1210">
        <v>1</v>
      </c>
      <c r="W1210" t="s">
        <v>42</v>
      </c>
      <c r="X1210" t="s">
        <v>43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10</v>
      </c>
      <c r="AI1210">
        <v>4</v>
      </c>
      <c r="AJ1210">
        <v>13</v>
      </c>
    </row>
    <row r="1211" spans="1:36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tr">
        <v>yes</v>
      </c>
      <c r="S1211" t="s">
        <v>52</v>
      </c>
      <c r="T1211">
        <v>10883</v>
      </c>
      <c r="U1211">
        <v>20467</v>
      </c>
      <c r="V1211">
        <v>3</v>
      </c>
      <c r="W1211" t="s">
        <v>42</v>
      </c>
      <c r="X1211" t="s">
        <v>43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0</v>
      </c>
      <c r="AI1211">
        <v>0</v>
      </c>
      <c r="AJ1211">
        <v>0</v>
      </c>
    </row>
    <row r="1212" spans="1:36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tr">
        <v>no</v>
      </c>
      <c r="S1212" t="s">
        <v>48</v>
      </c>
      <c r="T1212">
        <v>2028</v>
      </c>
      <c r="U1212">
        <v>13637</v>
      </c>
      <c r="V1212">
        <v>1</v>
      </c>
      <c r="W1212" t="s">
        <v>42</v>
      </c>
      <c r="X1212" t="s">
        <v>43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11</v>
      </c>
      <c r="AI1212">
        <v>2</v>
      </c>
      <c r="AJ1212">
        <v>13</v>
      </c>
    </row>
    <row r="1213" spans="1:36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tr">
        <v>yes</v>
      </c>
      <c r="S1213" t="s">
        <v>52</v>
      </c>
      <c r="T1213">
        <v>9525</v>
      </c>
      <c r="U1213">
        <v>7677</v>
      </c>
      <c r="V1213">
        <v>1</v>
      </c>
      <c r="W1213" t="s">
        <v>42</v>
      </c>
      <c r="X1213" t="s">
        <v>43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3</v>
      </c>
      <c r="AI1213">
        <v>1</v>
      </c>
      <c r="AJ1213">
        <v>3</v>
      </c>
    </row>
    <row r="1214" spans="1:36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tr">
        <v>yes</v>
      </c>
      <c r="S1214" t="s">
        <v>48</v>
      </c>
      <c r="T1214">
        <v>2929</v>
      </c>
      <c r="U1214">
        <v>20338</v>
      </c>
      <c r="V1214">
        <v>1</v>
      </c>
      <c r="W1214" t="s">
        <v>42</v>
      </c>
      <c r="X1214" t="s">
        <v>43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9</v>
      </c>
      <c r="AI1214">
        <v>8</v>
      </c>
      <c r="AJ1214">
        <v>7</v>
      </c>
    </row>
    <row r="1215" spans="1:36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tr">
        <v>yes</v>
      </c>
      <c r="S1215" t="s">
        <v>52</v>
      </c>
      <c r="T1215">
        <v>2275</v>
      </c>
      <c r="U1215">
        <v>25103</v>
      </c>
      <c r="V1215">
        <v>1</v>
      </c>
      <c r="W1215" t="s">
        <v>42</v>
      </c>
      <c r="X1215" t="s">
        <v>35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2</v>
      </c>
      <c r="AI1215">
        <v>0</v>
      </c>
      <c r="AJ1215">
        <v>2</v>
      </c>
    </row>
    <row r="1216" spans="1:36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tr">
        <v>yes</v>
      </c>
      <c r="S1216" t="s">
        <v>48</v>
      </c>
      <c r="T1216">
        <v>7879</v>
      </c>
      <c r="U1216">
        <v>14810</v>
      </c>
      <c r="V1216">
        <v>1</v>
      </c>
      <c r="W1216" t="s">
        <v>42</v>
      </c>
      <c r="X1216" t="s">
        <v>35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7</v>
      </c>
      <c r="AI1216">
        <v>6</v>
      </c>
      <c r="AJ1216">
        <v>7</v>
      </c>
    </row>
    <row r="1217" spans="1:36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tr">
        <v>yes</v>
      </c>
      <c r="S1217" t="s">
        <v>41</v>
      </c>
      <c r="T1217">
        <v>4930</v>
      </c>
      <c r="U1217">
        <v>13970</v>
      </c>
      <c r="V1217">
        <v>0</v>
      </c>
      <c r="W1217" t="s">
        <v>42</v>
      </c>
      <c r="X1217" t="s">
        <v>35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4</v>
      </c>
      <c r="AI1217">
        <v>1</v>
      </c>
      <c r="AJ1217">
        <v>4</v>
      </c>
    </row>
    <row r="1218" spans="1:36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tr">
        <v>yes</v>
      </c>
      <c r="S1218" t="s">
        <v>48</v>
      </c>
      <c r="T1218">
        <v>7847</v>
      </c>
      <c r="U1218">
        <v>6069</v>
      </c>
      <c r="V1218">
        <v>1</v>
      </c>
      <c r="W1218" t="s">
        <v>42</v>
      </c>
      <c r="X1218" t="s">
        <v>35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9</v>
      </c>
      <c r="AI1218">
        <v>8</v>
      </c>
      <c r="AJ1218">
        <v>8</v>
      </c>
    </row>
    <row r="1219" spans="1:36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tr">
        <v>yes</v>
      </c>
      <c r="S1219" t="s">
        <v>48</v>
      </c>
      <c r="T1219">
        <v>4401</v>
      </c>
      <c r="U1219">
        <v>17616</v>
      </c>
      <c r="V1219">
        <v>1</v>
      </c>
      <c r="W1219" t="s">
        <v>42</v>
      </c>
      <c r="X1219" t="s">
        <v>43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3</v>
      </c>
      <c r="AI1219">
        <v>0</v>
      </c>
      <c r="AJ1219">
        <v>4</v>
      </c>
    </row>
    <row r="1220" spans="1:36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tr">
        <v>yes</v>
      </c>
      <c r="S1220" t="s">
        <v>41</v>
      </c>
      <c r="T1220">
        <v>9241</v>
      </c>
      <c r="U1220">
        <v>15869</v>
      </c>
      <c r="V1220">
        <v>1</v>
      </c>
      <c r="W1220" t="s">
        <v>42</v>
      </c>
      <c r="X1220" t="s">
        <v>43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8</v>
      </c>
      <c r="AI1220">
        <v>8</v>
      </c>
      <c r="AJ1220">
        <v>7</v>
      </c>
    </row>
    <row r="1221" spans="1:36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tr">
        <v>yes</v>
      </c>
      <c r="S1221" t="s">
        <v>48</v>
      </c>
      <c r="T1221">
        <v>2974</v>
      </c>
      <c r="U1221">
        <v>25412</v>
      </c>
      <c r="V1221">
        <v>9</v>
      </c>
      <c r="W1221" t="s">
        <v>42</v>
      </c>
      <c r="X1221" t="s">
        <v>43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3</v>
      </c>
      <c r="AI1221">
        <v>1</v>
      </c>
      <c r="AJ1221">
        <v>2</v>
      </c>
    </row>
    <row r="1222" spans="1:36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tr">
        <v>yes</v>
      </c>
      <c r="S1222" t="s">
        <v>41</v>
      </c>
      <c r="T1222">
        <v>4502</v>
      </c>
      <c r="U1222">
        <v>7439</v>
      </c>
      <c r="V1222">
        <v>3</v>
      </c>
      <c r="W1222" t="s">
        <v>42</v>
      </c>
      <c r="X1222" t="s">
        <v>43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7</v>
      </c>
      <c r="AI1222">
        <v>6</v>
      </c>
      <c r="AJ1222">
        <v>7</v>
      </c>
    </row>
    <row r="1223" spans="1:36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tr">
        <v>yes</v>
      </c>
      <c r="S1223" t="s">
        <v>48</v>
      </c>
      <c r="T1223">
        <v>10748</v>
      </c>
      <c r="U1223">
        <v>3395</v>
      </c>
      <c r="V1223">
        <v>3</v>
      </c>
      <c r="W1223" t="s">
        <v>42</v>
      </c>
      <c r="X1223" t="s">
        <v>43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15</v>
      </c>
      <c r="AI1223">
        <v>14</v>
      </c>
      <c r="AJ1223">
        <v>4</v>
      </c>
    </row>
    <row r="1224" spans="1:36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tr">
        <v>yes</v>
      </c>
      <c r="S1224" t="s">
        <v>48</v>
      </c>
      <c r="T1224">
        <v>1555</v>
      </c>
      <c r="U1224">
        <v>11585</v>
      </c>
      <c r="V1224">
        <v>1</v>
      </c>
      <c r="W1224" t="s">
        <v>42</v>
      </c>
      <c r="X1224" t="s">
        <v>43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</row>
    <row r="1225" spans="1:36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tr">
        <v>yes</v>
      </c>
      <c r="S1225" t="s">
        <v>48</v>
      </c>
      <c r="T1225">
        <v>12936</v>
      </c>
      <c r="U1225">
        <v>24164</v>
      </c>
      <c r="V1225">
        <v>7</v>
      </c>
      <c r="W1225" t="s">
        <v>42</v>
      </c>
      <c r="X1225" t="s">
        <v>43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5</v>
      </c>
      <c r="AI1225">
        <v>14</v>
      </c>
      <c r="AJ1225">
        <v>10</v>
      </c>
    </row>
    <row r="1226" spans="1:36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tr">
        <v>yes</v>
      </c>
      <c r="S1226" t="s">
        <v>48</v>
      </c>
      <c r="T1226">
        <v>2305</v>
      </c>
      <c r="U1226">
        <v>6217</v>
      </c>
      <c r="V1226">
        <v>1</v>
      </c>
      <c r="W1226" t="s">
        <v>42</v>
      </c>
      <c r="X1226" t="s">
        <v>43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2</v>
      </c>
      <c r="AI1226">
        <v>0</v>
      </c>
      <c r="AJ1226">
        <v>2</v>
      </c>
    </row>
    <row r="1227" spans="1:36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tr">
        <v>no</v>
      </c>
      <c r="S1227" t="s">
        <v>41</v>
      </c>
      <c r="T1227">
        <v>16704</v>
      </c>
      <c r="U1227">
        <v>17119</v>
      </c>
      <c r="V1227">
        <v>1</v>
      </c>
      <c r="W1227" t="s">
        <v>42</v>
      </c>
      <c r="X1227" t="s">
        <v>43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6</v>
      </c>
      <c r="AI1227">
        <v>8</v>
      </c>
      <c r="AJ1227">
        <v>6</v>
      </c>
    </row>
    <row r="1228" spans="1:36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tr">
        <v>yes</v>
      </c>
      <c r="S1228" t="s">
        <v>48</v>
      </c>
      <c r="T1228">
        <v>3433</v>
      </c>
      <c r="U1228">
        <v>17360</v>
      </c>
      <c r="V1228">
        <v>6</v>
      </c>
      <c r="W1228" t="s">
        <v>42</v>
      </c>
      <c r="X1228" t="s">
        <v>43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2</v>
      </c>
      <c r="AI1228">
        <v>1</v>
      </c>
      <c r="AJ1228">
        <v>3</v>
      </c>
    </row>
    <row r="1229" spans="1:36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tr">
        <v>yes</v>
      </c>
      <c r="S1229" t="s">
        <v>48</v>
      </c>
      <c r="T1229">
        <v>3477</v>
      </c>
      <c r="U1229">
        <v>18103</v>
      </c>
      <c r="V1229">
        <v>1</v>
      </c>
      <c r="W1229" t="s">
        <v>42</v>
      </c>
      <c r="X1229" t="s">
        <v>43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2</v>
      </c>
      <c r="AI1229">
        <v>0</v>
      </c>
      <c r="AJ1229">
        <v>3</v>
      </c>
    </row>
    <row r="1230" spans="1:36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tr">
        <v>no</v>
      </c>
      <c r="S1230" t="s">
        <v>48</v>
      </c>
      <c r="T1230">
        <v>6430</v>
      </c>
      <c r="U1230">
        <v>20794</v>
      </c>
      <c r="V1230">
        <v>6</v>
      </c>
      <c r="W1230" t="s">
        <v>42</v>
      </c>
      <c r="X1230" t="s">
        <v>43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2</v>
      </c>
      <c r="AI1230">
        <v>1</v>
      </c>
      <c r="AJ1230">
        <v>2</v>
      </c>
    </row>
    <row r="1231" spans="1:36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tr">
        <v>no</v>
      </c>
      <c r="S1231" t="s">
        <v>48</v>
      </c>
      <c r="T1231">
        <v>6516</v>
      </c>
      <c r="U1231">
        <v>5041</v>
      </c>
      <c r="V1231">
        <v>2</v>
      </c>
      <c r="W1231" t="s">
        <v>42</v>
      </c>
      <c r="X1231" t="s">
        <v>35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0</v>
      </c>
      <c r="AI1231">
        <v>0</v>
      </c>
      <c r="AJ1231">
        <v>0</v>
      </c>
    </row>
    <row r="1232" spans="1:36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tr">
        <v>no</v>
      </c>
      <c r="S1232" t="s">
        <v>52</v>
      </c>
      <c r="T1232">
        <v>3907</v>
      </c>
      <c r="U1232">
        <v>3622</v>
      </c>
      <c r="V1232">
        <v>1</v>
      </c>
      <c r="W1232" t="s">
        <v>42</v>
      </c>
      <c r="X1232" t="s">
        <v>43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2</v>
      </c>
      <c r="AI1232">
        <v>1</v>
      </c>
      <c r="AJ1232">
        <v>2</v>
      </c>
    </row>
    <row r="1233" spans="1:36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tr">
        <v>no</v>
      </c>
      <c r="S1233" t="s">
        <v>41</v>
      </c>
      <c r="T1233">
        <v>5562</v>
      </c>
      <c r="U1233">
        <v>9697</v>
      </c>
      <c r="V1233">
        <v>6</v>
      </c>
      <c r="W1233" t="s">
        <v>42</v>
      </c>
      <c r="X1233" t="s">
        <v>43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7</v>
      </c>
      <c r="AI1233">
        <v>0</v>
      </c>
      <c r="AJ1233">
        <v>9</v>
      </c>
    </row>
    <row r="1234" spans="1:36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tr">
        <v>yes</v>
      </c>
      <c r="S1234" t="s">
        <v>48</v>
      </c>
      <c r="T1234">
        <v>6883</v>
      </c>
      <c r="U1234">
        <v>5151</v>
      </c>
      <c r="V1234">
        <v>2</v>
      </c>
      <c r="W1234" t="s">
        <v>42</v>
      </c>
      <c r="X1234" t="s">
        <v>43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7</v>
      </c>
      <c r="AI1234">
        <v>0</v>
      </c>
      <c r="AJ1234">
        <v>7</v>
      </c>
    </row>
    <row r="1235" spans="1:36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tr">
        <v>yes</v>
      </c>
      <c r="S1235" t="s">
        <v>48</v>
      </c>
      <c r="T1235">
        <v>2862</v>
      </c>
      <c r="U1235">
        <v>3811</v>
      </c>
      <c r="V1235">
        <v>1</v>
      </c>
      <c r="W1235" t="s">
        <v>42</v>
      </c>
      <c r="X1235" t="s">
        <v>43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8</v>
      </c>
    </row>
    <row r="1236" spans="1:36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tr">
        <v>no</v>
      </c>
      <c r="S1236" t="s">
        <v>48</v>
      </c>
      <c r="T1236">
        <v>4978</v>
      </c>
      <c r="U1236">
        <v>3536</v>
      </c>
      <c r="V1236">
        <v>7</v>
      </c>
      <c r="W1236" t="s">
        <v>42</v>
      </c>
      <c r="X1236" t="s">
        <v>43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0</v>
      </c>
      <c r="AI1236">
        <v>0</v>
      </c>
      <c r="AJ1236">
        <v>0</v>
      </c>
    </row>
    <row r="1237" spans="1:36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tr">
        <v>yes</v>
      </c>
      <c r="S1237" t="s">
        <v>52</v>
      </c>
      <c r="T1237">
        <v>10368</v>
      </c>
      <c r="U1237">
        <v>5596</v>
      </c>
      <c r="V1237">
        <v>4</v>
      </c>
      <c r="W1237" t="s">
        <v>42</v>
      </c>
      <c r="X1237" t="s">
        <v>35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6</v>
      </c>
      <c r="AI1237">
        <v>0</v>
      </c>
      <c r="AJ1237">
        <v>3</v>
      </c>
    </row>
    <row r="1238" spans="1:36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tr">
        <v>no</v>
      </c>
      <c r="S1238" t="s">
        <v>52</v>
      </c>
      <c r="T1238">
        <v>6134</v>
      </c>
      <c r="U1238">
        <v>8658</v>
      </c>
      <c r="V1238">
        <v>5</v>
      </c>
      <c r="W1238" t="s">
        <v>42</v>
      </c>
      <c r="X1238" t="s">
        <v>35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2</v>
      </c>
      <c r="AI1238">
        <v>2</v>
      </c>
      <c r="AJ1238">
        <v>2</v>
      </c>
    </row>
    <row r="1239" spans="1:36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tr">
        <v>no</v>
      </c>
      <c r="S1239" t="s">
        <v>41</v>
      </c>
      <c r="T1239">
        <v>6735</v>
      </c>
      <c r="U1239">
        <v>12147</v>
      </c>
      <c r="V1239">
        <v>6</v>
      </c>
      <c r="W1239" t="s">
        <v>42</v>
      </c>
      <c r="X1239" t="s">
        <v>43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0</v>
      </c>
      <c r="AI1239">
        <v>0</v>
      </c>
      <c r="AJ1239">
        <v>0</v>
      </c>
    </row>
    <row r="1240" spans="1:36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tr">
        <v>no</v>
      </c>
      <c r="S1240" t="s">
        <v>41</v>
      </c>
      <c r="T1240">
        <v>3295</v>
      </c>
      <c r="U1240">
        <v>12862</v>
      </c>
      <c r="V1240">
        <v>1</v>
      </c>
      <c r="W1240" t="s">
        <v>42</v>
      </c>
      <c r="X1240" t="s">
        <v>43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2</v>
      </c>
      <c r="AI1240">
        <v>1</v>
      </c>
      <c r="AJ1240">
        <v>2</v>
      </c>
    </row>
    <row r="1241" spans="1:36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tr">
        <v>yes</v>
      </c>
      <c r="S1241" t="s">
        <v>41</v>
      </c>
      <c r="T1241">
        <v>5238</v>
      </c>
      <c r="U1241">
        <v>6670</v>
      </c>
      <c r="V1241">
        <v>2</v>
      </c>
      <c r="W1241" t="s">
        <v>42</v>
      </c>
      <c r="X1241" t="s">
        <v>43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1</v>
      </c>
      <c r="AJ1241">
        <v>4</v>
      </c>
    </row>
    <row r="1242" spans="1:36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tr">
        <v>yes</v>
      </c>
      <c r="S1242" t="s">
        <v>48</v>
      </c>
      <c r="T1242">
        <v>6472</v>
      </c>
      <c r="U1242">
        <v>8989</v>
      </c>
      <c r="V1242">
        <v>1</v>
      </c>
      <c r="W1242" t="s">
        <v>42</v>
      </c>
      <c r="X1242" t="s">
        <v>35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8</v>
      </c>
      <c r="AI1242">
        <v>5</v>
      </c>
      <c r="AJ1242">
        <v>8</v>
      </c>
    </row>
    <row r="1243" spans="1:36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tr">
        <v>yes</v>
      </c>
      <c r="S1243" t="s">
        <v>48</v>
      </c>
      <c r="T1243">
        <v>9610</v>
      </c>
      <c r="U1243">
        <v>3840</v>
      </c>
      <c r="V1243">
        <v>3</v>
      </c>
      <c r="W1243" t="s">
        <v>42</v>
      </c>
      <c r="X1243" t="s">
        <v>43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3</v>
      </c>
      <c r="AI1243">
        <v>0</v>
      </c>
      <c r="AJ1243">
        <v>2</v>
      </c>
    </row>
    <row r="1244" spans="1:36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tr">
        <v>no</v>
      </c>
      <c r="S1244" t="s">
        <v>41</v>
      </c>
      <c r="T1244">
        <v>19833</v>
      </c>
      <c r="U1244">
        <v>4349</v>
      </c>
      <c r="V1244">
        <v>1</v>
      </c>
      <c r="W1244" t="s">
        <v>42</v>
      </c>
      <c r="X1244" t="s">
        <v>43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8</v>
      </c>
      <c r="AI1244">
        <v>12</v>
      </c>
      <c r="AJ1244">
        <v>8</v>
      </c>
    </row>
    <row r="1245" spans="1:36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tr">
        <v>yes</v>
      </c>
      <c r="S1245" t="s">
        <v>48</v>
      </c>
      <c r="T1245">
        <v>9756</v>
      </c>
      <c r="U1245">
        <v>6595</v>
      </c>
      <c r="V1245">
        <v>4</v>
      </c>
      <c r="W1245" t="s">
        <v>42</v>
      </c>
      <c r="X1245" t="s">
        <v>43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0</v>
      </c>
      <c r="AI1245">
        <v>0</v>
      </c>
      <c r="AJ1245">
        <v>3</v>
      </c>
    </row>
    <row r="1246" spans="1:36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tr">
        <v>no</v>
      </c>
      <c r="S1246" t="s">
        <v>41</v>
      </c>
      <c r="T1246">
        <v>4968</v>
      </c>
      <c r="U1246">
        <v>26427</v>
      </c>
      <c r="V1246">
        <v>0</v>
      </c>
      <c r="W1246" t="s">
        <v>42</v>
      </c>
      <c r="X1246" t="s">
        <v>43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7</v>
      </c>
      <c r="AI1246">
        <v>0</v>
      </c>
      <c r="AJ1246">
        <v>7</v>
      </c>
    </row>
    <row r="1247" spans="1:36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tr">
        <v>yes</v>
      </c>
      <c r="S1247" t="s">
        <v>48</v>
      </c>
      <c r="T1247">
        <v>2145</v>
      </c>
      <c r="U1247">
        <v>2097</v>
      </c>
      <c r="V1247">
        <v>0</v>
      </c>
      <c r="W1247" t="s">
        <v>42</v>
      </c>
      <c r="X1247" t="s">
        <v>43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2</v>
      </c>
      <c r="AI1247">
        <v>2</v>
      </c>
      <c r="AJ1247">
        <v>1</v>
      </c>
    </row>
    <row r="1248" spans="1:36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tr">
        <v>yes</v>
      </c>
      <c r="S1248" t="s">
        <v>52</v>
      </c>
      <c r="T1248">
        <v>2180</v>
      </c>
      <c r="U1248">
        <v>9732</v>
      </c>
      <c r="V1248">
        <v>6</v>
      </c>
      <c r="W1248" t="s">
        <v>42</v>
      </c>
      <c r="X1248" t="s">
        <v>43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1</v>
      </c>
      <c r="AJ1248">
        <v>2</v>
      </c>
    </row>
    <row r="1249" spans="1:36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tr">
        <v>yes</v>
      </c>
      <c r="S1249" t="s">
        <v>48</v>
      </c>
      <c r="T1249">
        <v>8346</v>
      </c>
      <c r="U1249">
        <v>20943</v>
      </c>
      <c r="V1249">
        <v>1</v>
      </c>
      <c r="W1249" t="s">
        <v>42</v>
      </c>
      <c r="X1249" t="s">
        <v>43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2</v>
      </c>
      <c r="AI1249">
        <v>0</v>
      </c>
      <c r="AJ1249">
        <v>2</v>
      </c>
    </row>
    <row r="1250" spans="1:36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tr">
        <v>yes</v>
      </c>
      <c r="S1250" t="s">
        <v>41</v>
      </c>
      <c r="T1250">
        <v>3445</v>
      </c>
      <c r="U1250">
        <v>6152</v>
      </c>
      <c r="V1250">
        <v>1</v>
      </c>
      <c r="W1250" t="s">
        <v>42</v>
      </c>
      <c r="X1250" t="s">
        <v>43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2</v>
      </c>
      <c r="AI1250">
        <v>1</v>
      </c>
      <c r="AJ1250">
        <v>4</v>
      </c>
    </row>
    <row r="1251" spans="1:36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tr">
        <v>no</v>
      </c>
      <c r="S1251" t="s">
        <v>41</v>
      </c>
      <c r="T1251">
        <v>2760</v>
      </c>
      <c r="U1251">
        <v>14630</v>
      </c>
      <c r="V1251">
        <v>1</v>
      </c>
      <c r="W1251" t="s">
        <v>42</v>
      </c>
      <c r="X1251" t="s">
        <v>43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2</v>
      </c>
      <c r="AI1251">
        <v>2</v>
      </c>
      <c r="AJ1251">
        <v>2</v>
      </c>
    </row>
    <row r="1252" spans="1:36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tr">
        <v>yes</v>
      </c>
      <c r="S1252" t="s">
        <v>41</v>
      </c>
      <c r="T1252">
        <v>6294</v>
      </c>
      <c r="U1252">
        <v>23060</v>
      </c>
      <c r="V1252">
        <v>8</v>
      </c>
      <c r="W1252" t="s">
        <v>42</v>
      </c>
      <c r="X1252" t="s">
        <v>35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2</v>
      </c>
      <c r="AI1252">
        <v>0</v>
      </c>
      <c r="AJ1252">
        <v>2</v>
      </c>
    </row>
    <row r="1253" spans="1:36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tr">
        <v>no</v>
      </c>
      <c r="S1253" t="s">
        <v>52</v>
      </c>
      <c r="T1253">
        <v>7140</v>
      </c>
      <c r="U1253">
        <v>3088</v>
      </c>
      <c r="V1253">
        <v>2</v>
      </c>
      <c r="W1253" t="s">
        <v>42</v>
      </c>
      <c r="X1253" t="s">
        <v>43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7</v>
      </c>
      <c r="AI1253">
        <v>1</v>
      </c>
      <c r="AJ1253">
        <v>7</v>
      </c>
    </row>
    <row r="1254" spans="1:36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tr">
        <v>yes</v>
      </c>
      <c r="S1254" t="s">
        <v>48</v>
      </c>
      <c r="T1254">
        <v>2932</v>
      </c>
      <c r="U1254">
        <v>5586</v>
      </c>
      <c r="V1254">
        <v>0</v>
      </c>
      <c r="W1254" t="s">
        <v>42</v>
      </c>
      <c r="X1254" t="s">
        <v>35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0</v>
      </c>
      <c r="AI1254">
        <v>1</v>
      </c>
      <c r="AJ1254">
        <v>2</v>
      </c>
    </row>
    <row r="1255" spans="1:36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tr">
        <v>no</v>
      </c>
      <c r="S1255" t="s">
        <v>41</v>
      </c>
      <c r="T1255">
        <v>5147</v>
      </c>
      <c r="U1255">
        <v>10697</v>
      </c>
      <c r="V1255">
        <v>8</v>
      </c>
      <c r="W1255" t="s">
        <v>42</v>
      </c>
      <c r="X1255" t="s">
        <v>43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7</v>
      </c>
      <c r="AI1255">
        <v>1</v>
      </c>
      <c r="AJ1255">
        <v>7</v>
      </c>
    </row>
    <row r="1256" spans="1:36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tr">
        <v>yes</v>
      </c>
      <c r="S1256" t="s">
        <v>41</v>
      </c>
      <c r="T1256">
        <v>4507</v>
      </c>
      <c r="U1256">
        <v>8191</v>
      </c>
      <c r="V1256">
        <v>3</v>
      </c>
      <c r="W1256" t="s">
        <v>42</v>
      </c>
      <c r="X1256" t="s">
        <v>43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1</v>
      </c>
      <c r="AI1256">
        <v>0</v>
      </c>
      <c r="AJ1256">
        <v>4</v>
      </c>
    </row>
    <row r="1257" spans="1:36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tr">
        <v>no</v>
      </c>
      <c r="S1257" t="s">
        <v>41</v>
      </c>
      <c r="T1257">
        <v>8564</v>
      </c>
      <c r="U1257">
        <v>10092</v>
      </c>
      <c r="V1257">
        <v>2</v>
      </c>
      <c r="W1257" t="s">
        <v>42</v>
      </c>
      <c r="X1257" t="s">
        <v>35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0</v>
      </c>
      <c r="AI1257">
        <v>0</v>
      </c>
      <c r="AJ1257">
        <v>0</v>
      </c>
    </row>
    <row r="1258" spans="1:36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tr">
        <v>no</v>
      </c>
      <c r="S1258" t="s">
        <v>48</v>
      </c>
      <c r="T1258">
        <v>2468</v>
      </c>
      <c r="U1258">
        <v>15963</v>
      </c>
      <c r="V1258">
        <v>4</v>
      </c>
      <c r="W1258" t="s">
        <v>42</v>
      </c>
      <c r="X1258" t="s">
        <v>43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1</v>
      </c>
      <c r="AI1258">
        <v>0</v>
      </c>
      <c r="AJ1258">
        <v>5</v>
      </c>
    </row>
    <row r="1259" spans="1:36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tr">
        <v>yes</v>
      </c>
      <c r="S1259" t="s">
        <v>48</v>
      </c>
      <c r="T1259">
        <v>8161</v>
      </c>
      <c r="U1259">
        <v>19002</v>
      </c>
      <c r="V1259">
        <v>2</v>
      </c>
      <c r="W1259" t="s">
        <v>42</v>
      </c>
      <c r="X1259" t="s">
        <v>43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0</v>
      </c>
      <c r="AI1259">
        <v>0</v>
      </c>
      <c r="AJ1259">
        <v>0</v>
      </c>
    </row>
    <row r="1260" spans="1:36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tr">
        <v>no</v>
      </c>
      <c r="S1260" t="s">
        <v>52</v>
      </c>
      <c r="T1260">
        <v>2109</v>
      </c>
      <c r="U1260">
        <v>10007</v>
      </c>
      <c r="V1260">
        <v>1</v>
      </c>
      <c r="W1260" t="s">
        <v>42</v>
      </c>
      <c r="X1260" t="s">
        <v>43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</row>
    <row r="1261" spans="1:36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tr">
        <v>yes</v>
      </c>
      <c r="S1261" t="s">
        <v>48</v>
      </c>
      <c r="T1261">
        <v>5294</v>
      </c>
      <c r="U1261">
        <v>9128</v>
      </c>
      <c r="V1261">
        <v>3</v>
      </c>
      <c r="W1261" t="s">
        <v>42</v>
      </c>
      <c r="X1261" t="s">
        <v>43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0</v>
      </c>
      <c r="AI1261">
        <v>1</v>
      </c>
      <c r="AJ1261">
        <v>7</v>
      </c>
    </row>
    <row r="1262" spans="1:36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tr">
        <v>no</v>
      </c>
      <c r="S1262" t="s">
        <v>41</v>
      </c>
      <c r="T1262">
        <v>2718</v>
      </c>
      <c r="U1262">
        <v>17674</v>
      </c>
      <c r="V1262">
        <v>2</v>
      </c>
      <c r="W1262" t="s">
        <v>42</v>
      </c>
      <c r="X1262" t="s">
        <v>43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7</v>
      </c>
      <c r="AI1262">
        <v>0</v>
      </c>
      <c r="AJ1262">
        <v>7</v>
      </c>
    </row>
    <row r="1263" spans="1:36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tr">
        <v>yes</v>
      </c>
      <c r="S1263" t="s">
        <v>48</v>
      </c>
      <c r="T1263">
        <v>5811</v>
      </c>
      <c r="U1263">
        <v>24539</v>
      </c>
      <c r="V1263">
        <v>3</v>
      </c>
      <c r="W1263" t="s">
        <v>42</v>
      </c>
      <c r="X1263" t="s">
        <v>35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0</v>
      </c>
      <c r="AI1263">
        <v>1</v>
      </c>
      <c r="AJ1263">
        <v>0</v>
      </c>
    </row>
    <row r="1264" spans="1:36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tr">
        <v>yes</v>
      </c>
      <c r="S1264" t="s">
        <v>48</v>
      </c>
      <c r="T1264">
        <v>2437</v>
      </c>
      <c r="U1264">
        <v>15587</v>
      </c>
      <c r="V1264">
        <v>9</v>
      </c>
      <c r="W1264" t="s">
        <v>42</v>
      </c>
      <c r="X1264" t="s">
        <v>35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0</v>
      </c>
      <c r="AI1264">
        <v>0</v>
      </c>
      <c r="AJ1264">
        <v>0</v>
      </c>
    </row>
    <row r="1265" spans="1:36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tr">
        <v>no</v>
      </c>
      <c r="S1265" t="s">
        <v>52</v>
      </c>
      <c r="T1265">
        <v>2766</v>
      </c>
      <c r="U1265">
        <v>8952</v>
      </c>
      <c r="V1265">
        <v>8</v>
      </c>
      <c r="W1265" t="s">
        <v>42</v>
      </c>
      <c r="X1265" t="s">
        <v>43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3</v>
      </c>
      <c r="AI1265">
        <v>0</v>
      </c>
      <c r="AJ1265">
        <v>4</v>
      </c>
    </row>
    <row r="1266" spans="1:36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tr">
        <v>no</v>
      </c>
      <c r="S1266" t="s">
        <v>48</v>
      </c>
      <c r="T1266">
        <v>19038</v>
      </c>
      <c r="U1266">
        <v>19805</v>
      </c>
      <c r="V1266">
        <v>8</v>
      </c>
      <c r="W1266" t="s">
        <v>42</v>
      </c>
      <c r="X1266" t="s">
        <v>43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0</v>
      </c>
      <c r="AI1266">
        <v>0</v>
      </c>
      <c r="AJ1266">
        <v>0</v>
      </c>
    </row>
    <row r="1267" spans="1:36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tr">
        <v>no</v>
      </c>
      <c r="S1267" t="s">
        <v>52</v>
      </c>
      <c r="T1267">
        <v>3055</v>
      </c>
      <c r="U1267">
        <v>6194</v>
      </c>
      <c r="V1267">
        <v>5</v>
      </c>
      <c r="W1267" t="s">
        <v>42</v>
      </c>
      <c r="X1267" t="s">
        <v>43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8</v>
      </c>
      <c r="AI1267">
        <v>1</v>
      </c>
      <c r="AJ1267">
        <v>7</v>
      </c>
    </row>
    <row r="1268" spans="1:36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tr">
        <v>no</v>
      </c>
      <c r="S1268" t="s">
        <v>52</v>
      </c>
      <c r="T1268">
        <v>2289</v>
      </c>
      <c r="U1268">
        <v>20520</v>
      </c>
      <c r="V1268">
        <v>1</v>
      </c>
      <c r="W1268" t="s">
        <v>42</v>
      </c>
      <c r="X1268" t="s">
        <v>43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3</v>
      </c>
      <c r="AI1268">
        <v>0</v>
      </c>
      <c r="AJ1268">
        <v>4</v>
      </c>
    </row>
    <row r="1269" spans="1:36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tr">
        <v>yes</v>
      </c>
      <c r="S1269" t="s">
        <v>52</v>
      </c>
      <c r="T1269">
        <v>4001</v>
      </c>
      <c r="U1269">
        <v>12313</v>
      </c>
      <c r="V1269">
        <v>1</v>
      </c>
      <c r="W1269" t="s">
        <v>42</v>
      </c>
      <c r="X1269" t="s">
        <v>35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14</v>
      </c>
      <c r="AI1269">
        <v>0</v>
      </c>
      <c r="AJ1269">
        <v>7</v>
      </c>
    </row>
    <row r="1270" spans="1:36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tr">
        <v>yes</v>
      </c>
      <c r="S1270" t="s">
        <v>48</v>
      </c>
      <c r="T1270">
        <v>12965</v>
      </c>
      <c r="U1270">
        <v>22308</v>
      </c>
      <c r="V1270">
        <v>4</v>
      </c>
      <c r="W1270" t="s">
        <v>42</v>
      </c>
      <c r="X1270" t="s">
        <v>35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</v>
      </c>
      <c r="AI1270">
        <v>0</v>
      </c>
      <c r="AJ1270">
        <v>2</v>
      </c>
    </row>
    <row r="1271" spans="1:36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tr">
        <v>yes</v>
      </c>
      <c r="S1271" t="s">
        <v>41</v>
      </c>
      <c r="T1271">
        <v>3539</v>
      </c>
      <c r="U1271">
        <v>5033</v>
      </c>
      <c r="V1271">
        <v>0</v>
      </c>
      <c r="W1271" t="s">
        <v>42</v>
      </c>
      <c r="X1271" t="s">
        <v>43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7</v>
      </c>
      <c r="AI1271">
        <v>1</v>
      </c>
      <c r="AJ1271">
        <v>8</v>
      </c>
    </row>
    <row r="1272" spans="1:36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tr">
        <v>yes</v>
      </c>
      <c r="S1272" t="s">
        <v>41</v>
      </c>
      <c r="T1272">
        <v>6029</v>
      </c>
      <c r="U1272">
        <v>25353</v>
      </c>
      <c r="V1272">
        <v>5</v>
      </c>
      <c r="W1272" t="s">
        <v>42</v>
      </c>
      <c r="X1272" t="s">
        <v>43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2</v>
      </c>
      <c r="AI1272">
        <v>2</v>
      </c>
      <c r="AJ1272">
        <v>2</v>
      </c>
    </row>
    <row r="1273" spans="1:36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tr">
        <v>no</v>
      </c>
      <c r="S1273" t="s">
        <v>41</v>
      </c>
      <c r="T1273">
        <v>2679</v>
      </c>
      <c r="U1273">
        <v>4567</v>
      </c>
      <c r="V1273">
        <v>1</v>
      </c>
      <c r="W1273" t="s">
        <v>42</v>
      </c>
      <c r="X1273" t="s">
        <v>43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1</v>
      </c>
      <c r="AJ1273">
        <v>0</v>
      </c>
    </row>
    <row r="1274" spans="1:36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tr">
        <v>yes</v>
      </c>
      <c r="S1274" t="s">
        <v>48</v>
      </c>
      <c r="T1274">
        <v>3702</v>
      </c>
      <c r="U1274">
        <v>16376</v>
      </c>
      <c r="V1274">
        <v>1</v>
      </c>
      <c r="W1274" t="s">
        <v>42</v>
      </c>
      <c r="X1274" t="s">
        <v>43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4</v>
      </c>
      <c r="AI1274">
        <v>0</v>
      </c>
      <c r="AJ1274">
        <v>4</v>
      </c>
    </row>
    <row r="1275" spans="1:36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tr">
        <v>no</v>
      </c>
      <c r="S1275" t="s">
        <v>48</v>
      </c>
      <c r="T1275">
        <v>2398</v>
      </c>
      <c r="U1275">
        <v>15999</v>
      </c>
      <c r="V1275">
        <v>1</v>
      </c>
      <c r="W1275" t="s">
        <v>42</v>
      </c>
      <c r="X1275" t="s">
        <v>35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</row>
    <row r="1276" spans="1:36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tr">
        <v>yes</v>
      </c>
      <c r="S1276" t="s">
        <v>48</v>
      </c>
      <c r="T1276">
        <v>5468</v>
      </c>
      <c r="U1276">
        <v>13402</v>
      </c>
      <c r="V1276">
        <v>1</v>
      </c>
      <c r="W1276" t="s">
        <v>42</v>
      </c>
      <c r="X1276" t="s">
        <v>43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7</v>
      </c>
      <c r="AI1276">
        <v>5</v>
      </c>
      <c r="AJ1276">
        <v>7</v>
      </c>
    </row>
    <row r="1277" spans="1:36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tr">
        <v>yes</v>
      </c>
      <c r="S1277" t="s">
        <v>48</v>
      </c>
      <c r="T1277">
        <v>13116</v>
      </c>
      <c r="U1277">
        <v>22984</v>
      </c>
      <c r="V1277">
        <v>2</v>
      </c>
      <c r="W1277" t="s">
        <v>42</v>
      </c>
      <c r="X1277" t="s">
        <v>43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2</v>
      </c>
      <c r="AI1277">
        <v>2</v>
      </c>
      <c r="AJ1277">
        <v>2</v>
      </c>
    </row>
    <row r="1278" spans="1:36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tr">
        <v>no</v>
      </c>
      <c r="S1278" t="s">
        <v>48</v>
      </c>
      <c r="T1278">
        <v>4189</v>
      </c>
      <c r="U1278">
        <v>8800</v>
      </c>
      <c r="V1278">
        <v>1</v>
      </c>
      <c r="W1278" t="s">
        <v>42</v>
      </c>
      <c r="X1278" t="s">
        <v>43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2</v>
      </c>
      <c r="AI1278">
        <v>0</v>
      </c>
      <c r="AJ1278">
        <v>3</v>
      </c>
    </row>
    <row r="1279" spans="1:36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tr">
        <v>yes</v>
      </c>
      <c r="S1279" t="s">
        <v>52</v>
      </c>
      <c r="T1279">
        <v>19328</v>
      </c>
      <c r="U1279">
        <v>14218</v>
      </c>
      <c r="V1279">
        <v>7</v>
      </c>
      <c r="W1279" t="s">
        <v>42</v>
      </c>
      <c r="X1279" t="s">
        <v>35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1</v>
      </c>
      <c r="AI1279">
        <v>2</v>
      </c>
      <c r="AJ1279">
        <v>2</v>
      </c>
    </row>
    <row r="1280" spans="1:36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tr">
        <v>no</v>
      </c>
      <c r="S1280" t="s">
        <v>48</v>
      </c>
      <c r="T1280">
        <v>8321</v>
      </c>
      <c r="U1280">
        <v>25949</v>
      </c>
      <c r="V1280">
        <v>7</v>
      </c>
      <c r="W1280" t="s">
        <v>42</v>
      </c>
      <c r="X1280" t="s">
        <v>35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8</v>
      </c>
      <c r="AI1280">
        <v>5</v>
      </c>
      <c r="AJ1280">
        <v>7</v>
      </c>
    </row>
    <row r="1281" spans="1:36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tr">
        <v>no</v>
      </c>
      <c r="S1281" t="s">
        <v>52</v>
      </c>
      <c r="T1281">
        <v>2342</v>
      </c>
      <c r="U1281">
        <v>11092</v>
      </c>
      <c r="V1281">
        <v>1</v>
      </c>
      <c r="W1281" t="s">
        <v>42</v>
      </c>
      <c r="X1281" t="s">
        <v>35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3</v>
      </c>
      <c r="AI1281">
        <v>2</v>
      </c>
      <c r="AJ1281">
        <v>3</v>
      </c>
    </row>
    <row r="1282" spans="1:36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tr">
        <v>no</v>
      </c>
      <c r="S1282" t="s">
        <v>52</v>
      </c>
      <c r="T1282">
        <v>4071</v>
      </c>
      <c r="U1282">
        <v>12832</v>
      </c>
      <c r="V1282">
        <v>2</v>
      </c>
      <c r="W1282" t="s">
        <v>42</v>
      </c>
      <c r="X1282" t="s">
        <v>43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0</v>
      </c>
      <c r="AI1282">
        <v>4</v>
      </c>
      <c r="AJ1282">
        <v>7</v>
      </c>
    </row>
    <row r="1283" spans="1:36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tr">
        <v>yes</v>
      </c>
      <c r="S1283" t="s">
        <v>41</v>
      </c>
      <c r="T1283">
        <v>5813</v>
      </c>
      <c r="U1283">
        <v>13492</v>
      </c>
      <c r="V1283">
        <v>1</v>
      </c>
      <c r="W1283" t="s">
        <v>42</v>
      </c>
      <c r="X1283" t="s">
        <v>35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7</v>
      </c>
      <c r="AI1283">
        <v>7</v>
      </c>
      <c r="AJ1283">
        <v>7</v>
      </c>
    </row>
    <row r="1284" spans="1:36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tr">
        <v>no</v>
      </c>
      <c r="S1284" t="s">
        <v>48</v>
      </c>
      <c r="T1284">
        <v>3143</v>
      </c>
      <c r="U1284">
        <v>6076</v>
      </c>
      <c r="V1284">
        <v>6</v>
      </c>
      <c r="W1284" t="s">
        <v>42</v>
      </c>
      <c r="X1284" t="s">
        <v>43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8</v>
      </c>
      <c r="AI1284">
        <v>7</v>
      </c>
      <c r="AJ1284">
        <v>6</v>
      </c>
    </row>
    <row r="1285" spans="1:36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tr">
        <v>yes</v>
      </c>
      <c r="S1285" t="s">
        <v>48</v>
      </c>
      <c r="T1285">
        <v>2044</v>
      </c>
      <c r="U1285">
        <v>5531</v>
      </c>
      <c r="V1285">
        <v>1</v>
      </c>
      <c r="W1285" t="s">
        <v>42</v>
      </c>
      <c r="X1285" t="s">
        <v>43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3</v>
      </c>
      <c r="AI1285">
        <v>0</v>
      </c>
      <c r="AJ1285">
        <v>3</v>
      </c>
    </row>
    <row r="1286" spans="1:36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tr">
        <v>yes</v>
      </c>
      <c r="S1286" t="s">
        <v>41</v>
      </c>
      <c r="T1286">
        <v>13464</v>
      </c>
      <c r="U1286">
        <v>7914</v>
      </c>
      <c r="V1286">
        <v>7</v>
      </c>
      <c r="W1286" t="s">
        <v>42</v>
      </c>
      <c r="X1286" t="s">
        <v>43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3</v>
      </c>
      <c r="AI1286">
        <v>2</v>
      </c>
      <c r="AJ1286">
        <v>2</v>
      </c>
    </row>
    <row r="1287" spans="1:36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tr">
        <v>no</v>
      </c>
      <c r="S1287" t="s">
        <v>41</v>
      </c>
      <c r="T1287">
        <v>7991</v>
      </c>
      <c r="U1287">
        <v>25166</v>
      </c>
      <c r="V1287">
        <v>8</v>
      </c>
      <c r="W1287" t="s">
        <v>42</v>
      </c>
      <c r="X1287" t="s">
        <v>43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2</v>
      </c>
      <c r="AI1287">
        <v>2</v>
      </c>
      <c r="AJ1287">
        <v>2</v>
      </c>
    </row>
    <row r="1288" spans="1:36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tr">
        <v>no</v>
      </c>
      <c r="S1288" t="s">
        <v>48</v>
      </c>
      <c r="T1288">
        <v>3377</v>
      </c>
      <c r="U1288">
        <v>25605</v>
      </c>
      <c r="V1288">
        <v>4</v>
      </c>
      <c r="W1288" t="s">
        <v>42</v>
      </c>
      <c r="X1288" t="s">
        <v>43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0</v>
      </c>
      <c r="AJ1288">
        <v>2</v>
      </c>
    </row>
    <row r="1289" spans="1:36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tr">
        <v>no</v>
      </c>
      <c r="S1289" t="s">
        <v>48</v>
      </c>
      <c r="T1289">
        <v>5538</v>
      </c>
      <c r="U1289">
        <v>5696</v>
      </c>
      <c r="V1289">
        <v>5</v>
      </c>
      <c r="W1289" t="s">
        <v>42</v>
      </c>
      <c r="X1289" t="s">
        <v>43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0</v>
      </c>
      <c r="AI1289">
        <v>0</v>
      </c>
      <c r="AJ1289">
        <v>0</v>
      </c>
    </row>
    <row r="1290" spans="1:36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tr">
        <v>yes</v>
      </c>
      <c r="S1290" t="s">
        <v>52</v>
      </c>
      <c r="T1290">
        <v>5762</v>
      </c>
      <c r="U1290">
        <v>24442</v>
      </c>
      <c r="V1290">
        <v>2</v>
      </c>
      <c r="W1290" t="s">
        <v>42</v>
      </c>
      <c r="X1290" t="s">
        <v>43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7</v>
      </c>
      <c r="AI1290">
        <v>1</v>
      </c>
      <c r="AJ1290">
        <v>7</v>
      </c>
    </row>
    <row r="1291" spans="1:36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tr">
        <v>no</v>
      </c>
      <c r="S1291" t="s">
        <v>52</v>
      </c>
      <c r="T1291">
        <v>2592</v>
      </c>
      <c r="U1291">
        <v>7129</v>
      </c>
      <c r="V1291">
        <v>5</v>
      </c>
      <c r="W1291" t="s">
        <v>42</v>
      </c>
      <c r="X1291" t="s">
        <v>43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10</v>
      </c>
      <c r="AI1291">
        <v>3</v>
      </c>
      <c r="AJ1291">
        <v>8</v>
      </c>
    </row>
    <row r="1292" spans="1:36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tr">
        <v>no</v>
      </c>
      <c r="S1292" t="s">
        <v>48</v>
      </c>
      <c r="T1292">
        <v>5346</v>
      </c>
      <c r="U1292">
        <v>6208</v>
      </c>
      <c r="V1292">
        <v>4</v>
      </c>
      <c r="W1292" t="s">
        <v>42</v>
      </c>
      <c r="X1292" t="s">
        <v>43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1</v>
      </c>
      <c r="AI1292">
        <v>0</v>
      </c>
      <c r="AJ1292">
        <v>7</v>
      </c>
    </row>
    <row r="1293" spans="1:36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tr">
        <v>no</v>
      </c>
      <c r="S1293" t="s">
        <v>41</v>
      </c>
      <c r="T1293">
        <v>4213</v>
      </c>
      <c r="U1293">
        <v>4992</v>
      </c>
      <c r="V1293">
        <v>1</v>
      </c>
      <c r="W1293" t="s">
        <v>42</v>
      </c>
      <c r="X1293" t="s">
        <v>43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3</v>
      </c>
      <c r="AI1293">
        <v>0</v>
      </c>
      <c r="AJ1293">
        <v>8</v>
      </c>
    </row>
    <row r="1294" spans="1:36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tr">
        <v>yes</v>
      </c>
      <c r="S1294" t="s">
        <v>52</v>
      </c>
      <c r="T1294">
        <v>4127</v>
      </c>
      <c r="U1294">
        <v>19188</v>
      </c>
      <c r="V1294">
        <v>2</v>
      </c>
      <c r="W1294" t="s">
        <v>42</v>
      </c>
      <c r="X1294" t="s">
        <v>43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1</v>
      </c>
      <c r="AI1294">
        <v>2</v>
      </c>
      <c r="AJ1294">
        <v>2</v>
      </c>
    </row>
    <row r="1295" spans="1:36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tr">
        <v>yes</v>
      </c>
      <c r="S1295" t="s">
        <v>41</v>
      </c>
      <c r="T1295">
        <v>2438</v>
      </c>
      <c r="U1295">
        <v>24978</v>
      </c>
      <c r="V1295">
        <v>4</v>
      </c>
      <c r="W1295" t="s">
        <v>42</v>
      </c>
      <c r="X1295" t="s">
        <v>43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2</v>
      </c>
      <c r="AI1295">
        <v>1</v>
      </c>
      <c r="AJ1295">
        <v>2</v>
      </c>
    </row>
    <row r="1296" spans="1:36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tr">
        <v>no</v>
      </c>
      <c r="S1296" t="s">
        <v>41</v>
      </c>
      <c r="T1296">
        <v>6870</v>
      </c>
      <c r="U1296">
        <v>15530</v>
      </c>
      <c r="V1296">
        <v>3</v>
      </c>
      <c r="W1296" t="s">
        <v>42</v>
      </c>
      <c r="X1296" t="s">
        <v>43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2</v>
      </c>
      <c r="AI1296">
        <v>1</v>
      </c>
      <c r="AJ1296">
        <v>2</v>
      </c>
    </row>
    <row r="1297" spans="1:36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tr">
        <v>yes</v>
      </c>
      <c r="S1297" t="s">
        <v>52</v>
      </c>
      <c r="T1297">
        <v>10447</v>
      </c>
      <c r="U1297">
        <v>26458</v>
      </c>
      <c r="V1297">
        <v>0</v>
      </c>
      <c r="W1297" t="s">
        <v>42</v>
      </c>
      <c r="X1297" t="s">
        <v>35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14</v>
      </c>
      <c r="AI1297">
        <v>13</v>
      </c>
      <c r="AJ1297">
        <v>5</v>
      </c>
    </row>
    <row r="1298" spans="1:36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tr">
        <v>yes</v>
      </c>
      <c r="S1298" t="s">
        <v>41</v>
      </c>
      <c r="T1298">
        <v>9667</v>
      </c>
      <c r="U1298">
        <v>2739</v>
      </c>
      <c r="V1298">
        <v>9</v>
      </c>
      <c r="W1298" t="s">
        <v>42</v>
      </c>
      <c r="X1298" t="s">
        <v>43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7</v>
      </c>
      <c r="AI1298">
        <v>0</v>
      </c>
      <c r="AJ1298">
        <v>2</v>
      </c>
    </row>
    <row r="1299" spans="1:36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tr">
        <v>no</v>
      </c>
      <c r="S1299" t="s">
        <v>48</v>
      </c>
      <c r="T1299">
        <v>2148</v>
      </c>
      <c r="U1299">
        <v>6889</v>
      </c>
      <c r="V1299">
        <v>0</v>
      </c>
      <c r="W1299" t="s">
        <v>42</v>
      </c>
      <c r="X1299" t="s">
        <v>35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4</v>
      </c>
    </row>
    <row r="1300" spans="1:36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tr">
        <v>no</v>
      </c>
      <c r="S1300" t="s">
        <v>48</v>
      </c>
      <c r="T1300">
        <v>8926</v>
      </c>
      <c r="U1300">
        <v>10842</v>
      </c>
      <c r="V1300">
        <v>4</v>
      </c>
      <c r="W1300" t="s">
        <v>42</v>
      </c>
      <c r="X1300" t="s">
        <v>43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7</v>
      </c>
      <c r="AI1300">
        <v>3</v>
      </c>
      <c r="AJ1300">
        <v>7</v>
      </c>
    </row>
    <row r="1301" spans="1:36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tr">
        <v>yes</v>
      </c>
      <c r="S1301" t="s">
        <v>52</v>
      </c>
      <c r="T1301">
        <v>6513</v>
      </c>
      <c r="U1301">
        <v>9060</v>
      </c>
      <c r="V1301">
        <v>4</v>
      </c>
      <c r="W1301" t="s">
        <v>42</v>
      </c>
      <c r="X1301" t="s">
        <v>43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3</v>
      </c>
      <c r="AI1301">
        <v>0</v>
      </c>
      <c r="AJ1301">
        <v>3</v>
      </c>
    </row>
    <row r="1302" spans="1:36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tr">
        <v>yes</v>
      </c>
      <c r="S1302" t="s">
        <v>48</v>
      </c>
      <c r="T1302">
        <v>6799</v>
      </c>
      <c r="U1302">
        <v>22128</v>
      </c>
      <c r="V1302">
        <v>1</v>
      </c>
      <c r="W1302" t="s">
        <v>42</v>
      </c>
      <c r="X1302" t="s">
        <v>43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8</v>
      </c>
      <c r="AI1302">
        <v>4</v>
      </c>
      <c r="AJ1302">
        <v>8</v>
      </c>
    </row>
    <row r="1303" spans="1:36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tr">
        <v>no</v>
      </c>
      <c r="S1303" t="s">
        <v>52</v>
      </c>
      <c r="T1303">
        <v>16291</v>
      </c>
      <c r="U1303">
        <v>22577</v>
      </c>
      <c r="V1303">
        <v>4</v>
      </c>
      <c r="W1303" t="s">
        <v>42</v>
      </c>
      <c r="X1303" t="s">
        <v>43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9</v>
      </c>
      <c r="AI1303">
        <v>14</v>
      </c>
      <c r="AJ1303">
        <v>14</v>
      </c>
    </row>
    <row r="1304" spans="1:36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tr">
        <v>yes</v>
      </c>
      <c r="S1304" t="s">
        <v>48</v>
      </c>
      <c r="T1304">
        <v>2705</v>
      </c>
      <c r="U1304">
        <v>9696</v>
      </c>
      <c r="V1304">
        <v>0</v>
      </c>
      <c r="W1304" t="s">
        <v>42</v>
      </c>
      <c r="X1304" t="s">
        <v>43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4</v>
      </c>
      <c r="AI1304">
        <v>0</v>
      </c>
      <c r="AJ1304">
        <v>3</v>
      </c>
    </row>
    <row r="1305" spans="1:36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tr">
        <v>no</v>
      </c>
      <c r="S1305" t="s">
        <v>52</v>
      </c>
      <c r="T1305">
        <v>10333</v>
      </c>
      <c r="U1305">
        <v>19271</v>
      </c>
      <c r="V1305">
        <v>8</v>
      </c>
      <c r="W1305" t="s">
        <v>42</v>
      </c>
      <c r="X1305" t="s">
        <v>35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11</v>
      </c>
      <c r="AI1305">
        <v>14</v>
      </c>
      <c r="AJ1305">
        <v>10</v>
      </c>
    </row>
    <row r="1306" spans="1:36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tr">
        <v>no</v>
      </c>
      <c r="S1306" t="s">
        <v>52</v>
      </c>
      <c r="T1306">
        <v>4448</v>
      </c>
      <c r="U1306">
        <v>10748</v>
      </c>
      <c r="V1306">
        <v>2</v>
      </c>
      <c r="W1306" t="s">
        <v>42</v>
      </c>
      <c r="X1306" t="s">
        <v>43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4</v>
      </c>
      <c r="AI1306">
        <v>7</v>
      </c>
      <c r="AJ1306">
        <v>7</v>
      </c>
    </row>
    <row r="1307" spans="1:36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tr">
        <v>yes</v>
      </c>
      <c r="S1307" t="s">
        <v>48</v>
      </c>
      <c r="T1307">
        <v>6854</v>
      </c>
      <c r="U1307">
        <v>15696</v>
      </c>
      <c r="V1307">
        <v>4</v>
      </c>
      <c r="W1307" t="s">
        <v>42</v>
      </c>
      <c r="X1307" t="s">
        <v>43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1</v>
      </c>
      <c r="AI1307">
        <v>1</v>
      </c>
      <c r="AJ1307">
        <v>7</v>
      </c>
    </row>
    <row r="1308" spans="1:36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tr">
        <v>no</v>
      </c>
      <c r="S1308" t="s">
        <v>48</v>
      </c>
      <c r="T1308">
        <v>9637</v>
      </c>
      <c r="U1308">
        <v>8277</v>
      </c>
      <c r="V1308">
        <v>2</v>
      </c>
      <c r="W1308" t="s">
        <v>42</v>
      </c>
      <c r="X1308" t="s">
        <v>43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2</v>
      </c>
      <c r="AI1308">
        <v>2</v>
      </c>
      <c r="AJ1308">
        <v>2</v>
      </c>
    </row>
    <row r="1309" spans="1:36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tr">
        <v>no</v>
      </c>
      <c r="S1309" t="s">
        <v>48</v>
      </c>
      <c r="T1309">
        <v>3591</v>
      </c>
      <c r="U1309">
        <v>12719</v>
      </c>
      <c r="V1309">
        <v>1</v>
      </c>
      <c r="W1309" t="s">
        <v>42</v>
      </c>
      <c r="X1309" t="s">
        <v>43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2</v>
      </c>
      <c r="AI1309">
        <v>1</v>
      </c>
      <c r="AJ1309">
        <v>2</v>
      </c>
    </row>
    <row r="1310" spans="1:36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tr">
        <v>yes</v>
      </c>
      <c r="S1310" t="s">
        <v>48</v>
      </c>
      <c r="T1310">
        <v>5405</v>
      </c>
      <c r="U1310">
        <v>4244</v>
      </c>
      <c r="V1310">
        <v>2</v>
      </c>
      <c r="W1310" t="s">
        <v>42</v>
      </c>
      <c r="X1310" t="s">
        <v>35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2</v>
      </c>
      <c r="AI1310">
        <v>0</v>
      </c>
      <c r="AJ1310">
        <v>3</v>
      </c>
    </row>
    <row r="1311" spans="1:36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tr">
        <v>yes</v>
      </c>
      <c r="S1311" t="s">
        <v>41</v>
      </c>
      <c r="T1311">
        <v>4684</v>
      </c>
      <c r="U1311">
        <v>9125</v>
      </c>
      <c r="V1311">
        <v>1</v>
      </c>
      <c r="W1311" t="s">
        <v>42</v>
      </c>
      <c r="X1311" t="s">
        <v>43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3</v>
      </c>
      <c r="AI1311">
        <v>1</v>
      </c>
      <c r="AJ1311">
        <v>2</v>
      </c>
    </row>
    <row r="1312" spans="1:36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tr">
        <v>yes</v>
      </c>
      <c r="S1312" t="s">
        <v>48</v>
      </c>
      <c r="T1312">
        <v>15787</v>
      </c>
      <c r="U1312">
        <v>21624</v>
      </c>
      <c r="V1312">
        <v>2</v>
      </c>
      <c r="W1312" t="s">
        <v>42</v>
      </c>
      <c r="X1312" t="s">
        <v>35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</v>
      </c>
      <c r="AI1312">
        <v>2</v>
      </c>
      <c r="AJ1312">
        <v>2</v>
      </c>
    </row>
    <row r="1313" spans="1:36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tr">
        <v>yes</v>
      </c>
      <c r="S1313" t="s">
        <v>41</v>
      </c>
      <c r="T1313">
        <v>1514</v>
      </c>
      <c r="U1313">
        <v>8018</v>
      </c>
      <c r="V1313">
        <v>1</v>
      </c>
      <c r="W1313" t="s">
        <v>42</v>
      </c>
      <c r="X1313" t="s">
        <v>43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</row>
    <row r="1314" spans="1:36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tr">
        <v>no</v>
      </c>
      <c r="S1314" t="s">
        <v>48</v>
      </c>
      <c r="T1314">
        <v>2956</v>
      </c>
      <c r="U1314">
        <v>21495</v>
      </c>
      <c r="V1314">
        <v>0</v>
      </c>
      <c r="W1314" t="s">
        <v>42</v>
      </c>
      <c r="X1314" t="s">
        <v>43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0</v>
      </c>
      <c r="AI1314">
        <v>0</v>
      </c>
      <c r="AJ1314">
        <v>0</v>
      </c>
    </row>
    <row r="1315" spans="1:36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tr">
        <v>no</v>
      </c>
      <c r="S1315" t="s">
        <v>52</v>
      </c>
      <c r="T1315">
        <v>2335</v>
      </c>
      <c r="U1315">
        <v>3157</v>
      </c>
      <c r="V1315">
        <v>4</v>
      </c>
      <c r="W1315" t="s">
        <v>42</v>
      </c>
      <c r="X1315" t="s">
        <v>35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0</v>
      </c>
    </row>
    <row r="1316" spans="1:36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tr">
        <v>yes</v>
      </c>
      <c r="S1316" t="s">
        <v>48</v>
      </c>
      <c r="T1316">
        <v>5154</v>
      </c>
      <c r="U1316">
        <v>19665</v>
      </c>
      <c r="V1316">
        <v>4</v>
      </c>
      <c r="W1316" t="s">
        <v>42</v>
      </c>
      <c r="X1316" t="s">
        <v>43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7</v>
      </c>
      <c r="AI1316">
        <v>5</v>
      </c>
      <c r="AJ1316">
        <v>7</v>
      </c>
    </row>
    <row r="1317" spans="1:36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tr">
        <v>no</v>
      </c>
      <c r="S1317" t="s">
        <v>48</v>
      </c>
      <c r="T1317">
        <v>6962</v>
      </c>
      <c r="U1317">
        <v>19573</v>
      </c>
      <c r="V1317">
        <v>4</v>
      </c>
      <c r="W1317" t="s">
        <v>42</v>
      </c>
      <c r="X1317" t="s">
        <v>35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0</v>
      </c>
      <c r="AI1317">
        <v>0</v>
      </c>
      <c r="AJ1317">
        <v>0</v>
      </c>
    </row>
    <row r="1318" spans="1:36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tr">
        <v>yes</v>
      </c>
      <c r="S1318" t="s">
        <v>48</v>
      </c>
      <c r="T1318">
        <v>5675</v>
      </c>
      <c r="U1318">
        <v>19246</v>
      </c>
      <c r="V1318">
        <v>1</v>
      </c>
      <c r="W1318" t="s">
        <v>42</v>
      </c>
      <c r="X1318" t="s">
        <v>43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7</v>
      </c>
      <c r="AI1318">
        <v>7</v>
      </c>
      <c r="AJ1318">
        <v>7</v>
      </c>
    </row>
    <row r="1319" spans="1:36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tr">
        <v>yes</v>
      </c>
      <c r="S1319" t="s">
        <v>41</v>
      </c>
      <c r="T1319">
        <v>2379</v>
      </c>
      <c r="U1319">
        <v>19826</v>
      </c>
      <c r="V1319">
        <v>0</v>
      </c>
      <c r="W1319" t="s">
        <v>42</v>
      </c>
      <c r="X1319" t="s">
        <v>35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4</v>
      </c>
      <c r="AI1319">
        <v>0</v>
      </c>
      <c r="AJ1319">
        <v>2</v>
      </c>
    </row>
    <row r="1320" spans="1:36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tr">
        <v>yes</v>
      </c>
      <c r="S1320" t="s">
        <v>48</v>
      </c>
      <c r="T1320">
        <v>3812</v>
      </c>
      <c r="U1320">
        <v>7003</v>
      </c>
      <c r="V1320">
        <v>1</v>
      </c>
      <c r="W1320" t="s">
        <v>42</v>
      </c>
      <c r="X1320" t="s">
        <v>43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8</v>
      </c>
      <c r="AI1320">
        <v>3</v>
      </c>
      <c r="AJ1320">
        <v>10</v>
      </c>
    </row>
    <row r="1321" spans="1:36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tr">
        <v>yes</v>
      </c>
      <c r="S1321" t="s">
        <v>41</v>
      </c>
      <c r="T1321">
        <v>4648</v>
      </c>
      <c r="U1321">
        <v>26075</v>
      </c>
      <c r="V1321">
        <v>8</v>
      </c>
      <c r="W1321" t="s">
        <v>42</v>
      </c>
      <c r="X1321" t="s">
        <v>43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0</v>
      </c>
      <c r="AI1321">
        <v>0</v>
      </c>
      <c r="AJ1321">
        <v>0</v>
      </c>
    </row>
    <row r="1322" spans="1:36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tr">
        <v>yes</v>
      </c>
      <c r="S1322" t="s">
        <v>48</v>
      </c>
      <c r="T1322">
        <v>2936</v>
      </c>
      <c r="U1322">
        <v>6161</v>
      </c>
      <c r="V1322">
        <v>3</v>
      </c>
      <c r="W1322" t="s">
        <v>42</v>
      </c>
      <c r="X1322" t="s">
        <v>43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3</v>
      </c>
      <c r="AI1322">
        <v>3</v>
      </c>
      <c r="AJ1322">
        <v>3</v>
      </c>
    </row>
    <row r="1323" spans="1:36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tr">
        <v>yes</v>
      </c>
      <c r="S1323" t="s">
        <v>41</v>
      </c>
      <c r="T1323">
        <v>2105</v>
      </c>
      <c r="U1323">
        <v>5411</v>
      </c>
      <c r="V1323">
        <v>4</v>
      </c>
      <c r="W1323" t="s">
        <v>42</v>
      </c>
      <c r="X1323" t="s">
        <v>43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2</v>
      </c>
      <c r="AI1323">
        <v>2</v>
      </c>
      <c r="AJ1323">
        <v>0</v>
      </c>
    </row>
    <row r="1324" spans="1:36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tr">
        <v>yes</v>
      </c>
      <c r="S1324" t="s">
        <v>52</v>
      </c>
      <c r="T1324">
        <v>8578</v>
      </c>
      <c r="U1324">
        <v>19989</v>
      </c>
      <c r="V1324">
        <v>3</v>
      </c>
      <c r="W1324" t="s">
        <v>42</v>
      </c>
      <c r="X1324" t="s">
        <v>43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8</v>
      </c>
      <c r="AI1324">
        <v>4</v>
      </c>
      <c r="AJ1324">
        <v>7</v>
      </c>
    </row>
    <row r="1325" spans="1:36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tr">
        <v>yes</v>
      </c>
      <c r="S1325" t="s">
        <v>52</v>
      </c>
      <c r="T1325">
        <v>2706</v>
      </c>
      <c r="U1325">
        <v>10494</v>
      </c>
      <c r="V1325">
        <v>1</v>
      </c>
      <c r="W1325" t="s">
        <v>42</v>
      </c>
      <c r="X1325" t="s">
        <v>43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2</v>
      </c>
      <c r="AI1325">
        <v>2</v>
      </c>
      <c r="AJ1325">
        <v>2</v>
      </c>
    </row>
    <row r="1326" spans="1:36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tr">
        <v>yes</v>
      </c>
      <c r="S1326" t="s">
        <v>52</v>
      </c>
      <c r="T1326">
        <v>6384</v>
      </c>
      <c r="U1326">
        <v>21143</v>
      </c>
      <c r="V1326">
        <v>8</v>
      </c>
      <c r="W1326" t="s">
        <v>42</v>
      </c>
      <c r="X1326" t="s">
        <v>43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0</v>
      </c>
      <c r="AI1326">
        <v>1</v>
      </c>
      <c r="AJ1326">
        <v>6</v>
      </c>
    </row>
    <row r="1327" spans="1:36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tr">
        <v>yes</v>
      </c>
      <c r="S1327" t="s">
        <v>41</v>
      </c>
      <c r="T1327">
        <v>3968</v>
      </c>
      <c r="U1327">
        <v>13624</v>
      </c>
      <c r="V1327">
        <v>4</v>
      </c>
      <c r="W1327" t="s">
        <v>42</v>
      </c>
      <c r="X1327" t="s">
        <v>43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0</v>
      </c>
      <c r="AI1327">
        <v>0</v>
      </c>
      <c r="AJ1327">
        <v>0</v>
      </c>
    </row>
    <row r="1328" spans="1:36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tr">
        <v>no</v>
      </c>
      <c r="S1328" t="s">
        <v>41</v>
      </c>
      <c r="T1328">
        <v>9907</v>
      </c>
      <c r="U1328">
        <v>26186</v>
      </c>
      <c r="V1328">
        <v>7</v>
      </c>
      <c r="W1328" t="s">
        <v>42</v>
      </c>
      <c r="X1328" t="s">
        <v>35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2</v>
      </c>
      <c r="AI1328">
        <v>2</v>
      </c>
      <c r="AJ1328">
        <v>2</v>
      </c>
    </row>
    <row r="1329" spans="1:36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tr">
        <v>no</v>
      </c>
      <c r="S1329" t="s">
        <v>52</v>
      </c>
      <c r="T1329">
        <v>13225</v>
      </c>
      <c r="U1329">
        <v>7739</v>
      </c>
      <c r="V1329">
        <v>2</v>
      </c>
      <c r="W1329" t="s">
        <v>42</v>
      </c>
      <c r="X1329" t="s">
        <v>43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17</v>
      </c>
      <c r="AI1329">
        <v>2</v>
      </c>
      <c r="AJ1329">
        <v>8</v>
      </c>
    </row>
    <row r="1330" spans="1:36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tr">
        <v>yes</v>
      </c>
      <c r="S1330" t="s">
        <v>48</v>
      </c>
      <c r="T1330">
        <v>3540</v>
      </c>
      <c r="U1330">
        <v>7018</v>
      </c>
      <c r="V1330">
        <v>1</v>
      </c>
      <c r="W1330" t="s">
        <v>42</v>
      </c>
      <c r="X1330" t="s">
        <v>43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8</v>
      </c>
      <c r="AI1330">
        <v>5</v>
      </c>
      <c r="AJ1330">
        <v>8</v>
      </c>
    </row>
    <row r="1331" spans="1:36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tr">
        <v>no</v>
      </c>
      <c r="S1331" t="s">
        <v>48</v>
      </c>
      <c r="T1331">
        <v>2804</v>
      </c>
      <c r="U1331">
        <v>15434</v>
      </c>
      <c r="V1331">
        <v>1</v>
      </c>
      <c r="W1331" t="s">
        <v>42</v>
      </c>
      <c r="X1331" t="s">
        <v>43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</row>
    <row r="1332" spans="1:36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tr">
        <v>yes</v>
      </c>
      <c r="S1332" t="s">
        <v>48</v>
      </c>
      <c r="T1332">
        <v>19392</v>
      </c>
      <c r="U1332">
        <v>22539</v>
      </c>
      <c r="V1332">
        <v>7</v>
      </c>
      <c r="W1332" t="s">
        <v>42</v>
      </c>
      <c r="X1332" t="s">
        <v>43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12</v>
      </c>
      <c r="AI1332">
        <v>6</v>
      </c>
      <c r="AJ1332">
        <v>14</v>
      </c>
    </row>
    <row r="1333" spans="1:36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tr">
        <v>no</v>
      </c>
      <c r="S1333" t="s">
        <v>48</v>
      </c>
      <c r="T1333">
        <v>19665</v>
      </c>
      <c r="U1333">
        <v>13583</v>
      </c>
      <c r="V1333">
        <v>4</v>
      </c>
      <c r="W1333" t="s">
        <v>42</v>
      </c>
      <c r="X1333" t="s">
        <v>43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10</v>
      </c>
      <c r="AI1333">
        <v>12</v>
      </c>
      <c r="AJ1333">
        <v>9</v>
      </c>
    </row>
    <row r="1334" spans="1:36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tr">
        <v>yes</v>
      </c>
      <c r="S1334" t="s">
        <v>41</v>
      </c>
      <c r="T1334">
        <v>2439</v>
      </c>
      <c r="U1334">
        <v>14753</v>
      </c>
      <c r="V1334">
        <v>1</v>
      </c>
      <c r="W1334" t="s">
        <v>42</v>
      </c>
      <c r="X1334" t="s">
        <v>35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1</v>
      </c>
      <c r="AJ1334">
        <v>0</v>
      </c>
    </row>
    <row r="1335" spans="1:36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tr">
        <v>no</v>
      </c>
      <c r="S1335" t="s">
        <v>48</v>
      </c>
      <c r="T1335">
        <v>7314</v>
      </c>
      <c r="U1335">
        <v>14011</v>
      </c>
      <c r="V1335">
        <v>5</v>
      </c>
      <c r="W1335" t="s">
        <v>42</v>
      </c>
      <c r="X1335" t="s">
        <v>43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7</v>
      </c>
      <c r="AI1335">
        <v>0</v>
      </c>
      <c r="AJ1335">
        <v>7</v>
      </c>
    </row>
    <row r="1336" spans="1:36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tr">
        <v>no</v>
      </c>
      <c r="S1336" t="s">
        <v>48</v>
      </c>
      <c r="T1336">
        <v>4774</v>
      </c>
      <c r="U1336">
        <v>23844</v>
      </c>
      <c r="V1336">
        <v>0</v>
      </c>
      <c r="W1336" t="s">
        <v>42</v>
      </c>
      <c r="X1336" t="s">
        <v>43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6</v>
      </c>
      <c r="AI1336">
        <v>7</v>
      </c>
      <c r="AJ1336">
        <v>3</v>
      </c>
    </row>
    <row r="1337" spans="1:36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tr">
        <v>yes</v>
      </c>
      <c r="S1337" t="s">
        <v>52</v>
      </c>
      <c r="T1337">
        <v>3902</v>
      </c>
      <c r="U1337">
        <v>5141</v>
      </c>
      <c r="V1337">
        <v>8</v>
      </c>
      <c r="W1337" t="s">
        <v>42</v>
      </c>
      <c r="X1337" t="s">
        <v>43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2</v>
      </c>
      <c r="AI1337">
        <v>2</v>
      </c>
      <c r="AJ1337">
        <v>2</v>
      </c>
    </row>
    <row r="1338" spans="1:36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tr">
        <v>yes</v>
      </c>
      <c r="S1338" t="s">
        <v>48</v>
      </c>
      <c r="T1338">
        <v>2662</v>
      </c>
      <c r="U1338">
        <v>7975</v>
      </c>
      <c r="V1338">
        <v>8</v>
      </c>
      <c r="W1338" t="s">
        <v>42</v>
      </c>
      <c r="X1338" t="s">
        <v>43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2</v>
      </c>
      <c r="AI1338">
        <v>0</v>
      </c>
      <c r="AJ1338">
        <v>4</v>
      </c>
    </row>
    <row r="1339" spans="1:36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tr">
        <v>no</v>
      </c>
      <c r="S1339" t="s">
        <v>48</v>
      </c>
      <c r="T1339">
        <v>2856</v>
      </c>
      <c r="U1339">
        <v>3692</v>
      </c>
      <c r="V1339">
        <v>1</v>
      </c>
      <c r="W1339" t="s">
        <v>42</v>
      </c>
      <c r="X1339" t="s">
        <v>43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</row>
    <row r="1340" spans="1:36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tr">
        <v>yes</v>
      </c>
      <c r="S1340" t="s">
        <v>41</v>
      </c>
      <c r="T1340">
        <v>1081</v>
      </c>
      <c r="U1340">
        <v>16019</v>
      </c>
      <c r="V1340">
        <v>1</v>
      </c>
      <c r="W1340" t="s">
        <v>42</v>
      </c>
      <c r="X1340" t="s">
        <v>43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</row>
    <row r="1341" spans="1:36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tr">
        <v>no</v>
      </c>
      <c r="S1341" t="s">
        <v>41</v>
      </c>
      <c r="T1341">
        <v>2472</v>
      </c>
      <c r="U1341">
        <v>26092</v>
      </c>
      <c r="V1341">
        <v>1</v>
      </c>
      <c r="W1341" t="s">
        <v>42</v>
      </c>
      <c r="X1341" t="s">
        <v>35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</row>
    <row r="1342" spans="1:36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tr">
        <v>yes</v>
      </c>
      <c r="S1342" t="s">
        <v>48</v>
      </c>
      <c r="T1342">
        <v>5673</v>
      </c>
      <c r="U1342">
        <v>6060</v>
      </c>
      <c r="V1342">
        <v>1</v>
      </c>
      <c r="W1342" t="s">
        <v>42</v>
      </c>
      <c r="X1342" t="s">
        <v>35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9</v>
      </c>
      <c r="AI1342">
        <v>1</v>
      </c>
      <c r="AJ1342">
        <v>7</v>
      </c>
    </row>
    <row r="1343" spans="1:36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tr">
        <v>yes</v>
      </c>
      <c r="S1343" t="s">
        <v>52</v>
      </c>
      <c r="T1343">
        <v>4197</v>
      </c>
      <c r="U1343">
        <v>18624</v>
      </c>
      <c r="V1343">
        <v>1</v>
      </c>
      <c r="W1343" t="s">
        <v>42</v>
      </c>
      <c r="X1343" t="s">
        <v>43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8</v>
      </c>
      <c r="AI1343">
        <v>0</v>
      </c>
      <c r="AJ1343">
        <v>2</v>
      </c>
    </row>
    <row r="1344" spans="1:36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tr">
        <v>yes</v>
      </c>
      <c r="S1344" t="s">
        <v>48</v>
      </c>
      <c r="T1344">
        <v>9713</v>
      </c>
      <c r="U1344">
        <v>24444</v>
      </c>
      <c r="V1344">
        <v>2</v>
      </c>
      <c r="W1344" t="s">
        <v>42</v>
      </c>
      <c r="X1344" t="s">
        <v>35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3</v>
      </c>
      <c r="AI1344">
        <v>1</v>
      </c>
      <c r="AJ1344">
        <v>0</v>
      </c>
    </row>
    <row r="1345" spans="1:36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tr">
        <v>no</v>
      </c>
      <c r="S1345" t="s">
        <v>41</v>
      </c>
      <c r="T1345">
        <v>2062</v>
      </c>
      <c r="U1345">
        <v>19384</v>
      </c>
      <c r="V1345">
        <v>3</v>
      </c>
      <c r="W1345" t="s">
        <v>42</v>
      </c>
      <c r="X1345" t="s">
        <v>43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2</v>
      </c>
      <c r="AI1345">
        <v>1</v>
      </c>
      <c r="AJ1345">
        <v>2</v>
      </c>
    </row>
    <row r="1346" spans="1:36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tr">
        <v>no</v>
      </c>
      <c r="S1346" t="s">
        <v>48</v>
      </c>
      <c r="T1346">
        <v>4284</v>
      </c>
      <c r="U1346">
        <v>13588</v>
      </c>
      <c r="V1346">
        <v>5</v>
      </c>
      <c r="W1346" t="s">
        <v>42</v>
      </c>
      <c r="X1346" t="s">
        <v>35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3</v>
      </c>
      <c r="AI1346">
        <v>0</v>
      </c>
      <c r="AJ1346">
        <v>4</v>
      </c>
    </row>
    <row r="1347" spans="1:36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tr">
        <v>no</v>
      </c>
      <c r="S1347" t="s">
        <v>48</v>
      </c>
      <c r="T1347">
        <v>4788</v>
      </c>
      <c r="U1347">
        <v>25388</v>
      </c>
      <c r="V1347">
        <v>0</v>
      </c>
      <c r="W1347" t="s">
        <v>42</v>
      </c>
      <c r="X1347" t="s">
        <v>35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2</v>
      </c>
      <c r="AI1347">
        <v>0</v>
      </c>
      <c r="AJ1347">
        <v>2</v>
      </c>
    </row>
    <row r="1348" spans="1:36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tr">
        <v>yes</v>
      </c>
      <c r="S1348" t="s">
        <v>48</v>
      </c>
      <c r="T1348">
        <v>5906</v>
      </c>
      <c r="U1348">
        <v>23888</v>
      </c>
      <c r="V1348">
        <v>0</v>
      </c>
      <c r="W1348" t="s">
        <v>42</v>
      </c>
      <c r="X1348" t="s">
        <v>43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8</v>
      </c>
      <c r="AI1348">
        <v>3</v>
      </c>
      <c r="AJ1348">
        <v>8</v>
      </c>
    </row>
    <row r="1349" spans="1:36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tr">
        <v>yes</v>
      </c>
      <c r="S1349" t="s">
        <v>41</v>
      </c>
      <c r="T1349">
        <v>3886</v>
      </c>
      <c r="U1349">
        <v>4223</v>
      </c>
      <c r="V1349">
        <v>1</v>
      </c>
      <c r="W1349" t="s">
        <v>42</v>
      </c>
      <c r="X1349" t="s">
        <v>43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1</v>
      </c>
      <c r="AI1349">
        <v>0</v>
      </c>
      <c r="AJ1349">
        <v>8</v>
      </c>
    </row>
    <row r="1350" spans="1:36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tr">
        <v>no</v>
      </c>
      <c r="S1350" t="s">
        <v>52</v>
      </c>
      <c r="T1350">
        <v>16823</v>
      </c>
      <c r="U1350">
        <v>18991</v>
      </c>
      <c r="V1350">
        <v>2</v>
      </c>
      <c r="W1350" t="s">
        <v>42</v>
      </c>
      <c r="X1350" t="s">
        <v>43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7</v>
      </c>
      <c r="AI1350">
        <v>11</v>
      </c>
      <c r="AJ1350">
        <v>16</v>
      </c>
    </row>
    <row r="1351" spans="1:36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tr">
        <v>yes</v>
      </c>
      <c r="S1351" t="s">
        <v>48</v>
      </c>
      <c r="T1351">
        <v>2933</v>
      </c>
      <c r="U1351">
        <v>14908</v>
      </c>
      <c r="V1351">
        <v>1</v>
      </c>
      <c r="W1351" t="s">
        <v>42</v>
      </c>
      <c r="X1351" t="s">
        <v>35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1</v>
      </c>
      <c r="AJ1351">
        <v>0</v>
      </c>
    </row>
    <row r="1352" spans="1:36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tr">
        <v>yes</v>
      </c>
      <c r="S1352" t="s">
        <v>41</v>
      </c>
      <c r="T1352">
        <v>6500</v>
      </c>
      <c r="U1352">
        <v>26997</v>
      </c>
      <c r="V1352">
        <v>0</v>
      </c>
      <c r="W1352" t="s">
        <v>42</v>
      </c>
      <c r="X1352" t="s">
        <v>43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7</v>
      </c>
      <c r="AI1352">
        <v>0</v>
      </c>
      <c r="AJ1352">
        <v>7</v>
      </c>
    </row>
    <row r="1353" spans="1:36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tr">
        <v>yes</v>
      </c>
      <c r="S1353" t="s">
        <v>52</v>
      </c>
      <c r="T1353">
        <v>17174</v>
      </c>
      <c r="U1353">
        <v>2437</v>
      </c>
      <c r="V1353">
        <v>3</v>
      </c>
      <c r="W1353" t="s">
        <v>42</v>
      </c>
      <c r="X1353" t="s">
        <v>43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17</v>
      </c>
      <c r="AI1353">
        <v>4</v>
      </c>
      <c r="AJ1353">
        <v>7</v>
      </c>
    </row>
    <row r="1354" spans="1:36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tr">
        <v>no</v>
      </c>
      <c r="S1354" t="s">
        <v>48</v>
      </c>
      <c r="T1354">
        <v>5033</v>
      </c>
      <c r="U1354">
        <v>9364</v>
      </c>
      <c r="V1354">
        <v>2</v>
      </c>
      <c r="W1354" t="s">
        <v>42</v>
      </c>
      <c r="X1354" t="s">
        <v>43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0</v>
      </c>
      <c r="AI1354">
        <v>2</v>
      </c>
      <c r="AJ1354">
        <v>2</v>
      </c>
    </row>
    <row r="1355" spans="1:36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tr">
        <v>no</v>
      </c>
      <c r="S1355" t="s">
        <v>48</v>
      </c>
      <c r="T1355">
        <v>2307</v>
      </c>
      <c r="U1355">
        <v>14460</v>
      </c>
      <c r="V1355">
        <v>1</v>
      </c>
      <c r="W1355" t="s">
        <v>42</v>
      </c>
      <c r="X1355" t="s">
        <v>35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2</v>
      </c>
      <c r="AI1355">
        <v>3</v>
      </c>
      <c r="AJ1355">
        <v>0</v>
      </c>
    </row>
    <row r="1356" spans="1:36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tr">
        <v>yes</v>
      </c>
      <c r="S1356" t="s">
        <v>41</v>
      </c>
      <c r="T1356">
        <v>2587</v>
      </c>
      <c r="U1356">
        <v>10261</v>
      </c>
      <c r="V1356">
        <v>1</v>
      </c>
      <c r="W1356" t="s">
        <v>42</v>
      </c>
      <c r="X1356" t="s">
        <v>43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2</v>
      </c>
      <c r="AI1356">
        <v>1</v>
      </c>
      <c r="AJ1356">
        <v>0</v>
      </c>
    </row>
    <row r="1357" spans="1:36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tr">
        <v>no</v>
      </c>
      <c r="S1357" t="s">
        <v>48</v>
      </c>
      <c r="T1357">
        <v>5507</v>
      </c>
      <c r="U1357">
        <v>16822</v>
      </c>
      <c r="V1357">
        <v>2</v>
      </c>
      <c r="W1357" t="s">
        <v>42</v>
      </c>
      <c r="X1357" t="s">
        <v>43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2</v>
      </c>
      <c r="AI1357">
        <v>1</v>
      </c>
      <c r="AJ1357">
        <v>3</v>
      </c>
    </row>
    <row r="1358" spans="1:36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tr">
        <v>no</v>
      </c>
      <c r="S1358" t="s">
        <v>48</v>
      </c>
      <c r="T1358">
        <v>4393</v>
      </c>
      <c r="U1358">
        <v>26841</v>
      </c>
      <c r="V1358">
        <v>5</v>
      </c>
      <c r="W1358" t="s">
        <v>42</v>
      </c>
      <c r="X1358" t="s">
        <v>43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4</v>
      </c>
      <c r="AI1358">
        <v>1</v>
      </c>
      <c r="AJ1358">
        <v>4</v>
      </c>
    </row>
    <row r="1359" spans="1:36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tr">
        <v>no</v>
      </c>
      <c r="S1359" t="s">
        <v>48</v>
      </c>
      <c r="T1359">
        <v>13348</v>
      </c>
      <c r="U1359">
        <v>14842</v>
      </c>
      <c r="V1359">
        <v>9</v>
      </c>
      <c r="W1359" t="s">
        <v>42</v>
      </c>
      <c r="X1359" t="s">
        <v>43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7</v>
      </c>
      <c r="AI1359">
        <v>5</v>
      </c>
      <c r="AJ1359">
        <v>7</v>
      </c>
    </row>
    <row r="1360" spans="1:36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tr">
        <v>yes</v>
      </c>
      <c r="S1360" t="s">
        <v>52</v>
      </c>
      <c r="T1360">
        <v>6583</v>
      </c>
      <c r="U1360">
        <v>20115</v>
      </c>
      <c r="V1360">
        <v>2</v>
      </c>
      <c r="W1360" t="s">
        <v>42</v>
      </c>
      <c r="X1360" t="s">
        <v>35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2</v>
      </c>
      <c r="AI1360">
        <v>1</v>
      </c>
      <c r="AJ1360">
        <v>4</v>
      </c>
    </row>
    <row r="1361" spans="1:36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tr">
        <v>yes</v>
      </c>
      <c r="S1361" t="s">
        <v>48</v>
      </c>
      <c r="T1361">
        <v>8103</v>
      </c>
      <c r="U1361">
        <v>16495</v>
      </c>
      <c r="V1361">
        <v>3</v>
      </c>
      <c r="W1361" t="s">
        <v>42</v>
      </c>
      <c r="X1361" t="s">
        <v>35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2</v>
      </c>
      <c r="AI1361">
        <v>0</v>
      </c>
      <c r="AJ1361">
        <v>1</v>
      </c>
    </row>
    <row r="1362" spans="1:36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tr">
        <v>yes</v>
      </c>
      <c r="S1362" t="s">
        <v>52</v>
      </c>
      <c r="T1362">
        <v>3978</v>
      </c>
      <c r="U1362">
        <v>16031</v>
      </c>
      <c r="V1362">
        <v>8</v>
      </c>
      <c r="W1362" t="s">
        <v>42</v>
      </c>
      <c r="X1362" t="s">
        <v>43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</row>
    <row r="1363" spans="1:36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tr">
        <v>yes</v>
      </c>
      <c r="S1363" t="s">
        <v>48</v>
      </c>
      <c r="T1363">
        <v>2544</v>
      </c>
      <c r="U1363">
        <v>7102</v>
      </c>
      <c r="V1363">
        <v>0</v>
      </c>
      <c r="W1363" t="s">
        <v>42</v>
      </c>
      <c r="X1363" t="s">
        <v>43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7</v>
      </c>
      <c r="AI1363">
        <v>7</v>
      </c>
      <c r="AJ1363">
        <v>7</v>
      </c>
    </row>
    <row r="1364" spans="1:36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tr">
        <v>yes</v>
      </c>
      <c r="S1364" t="s">
        <v>41</v>
      </c>
      <c r="T1364">
        <v>5399</v>
      </c>
      <c r="U1364">
        <v>14511</v>
      </c>
      <c r="V1364">
        <v>4</v>
      </c>
      <c r="W1364" t="s">
        <v>42</v>
      </c>
      <c r="X1364" t="s">
        <v>43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2</v>
      </c>
      <c r="AI1364">
        <v>0</v>
      </c>
      <c r="AJ1364">
        <v>3</v>
      </c>
    </row>
    <row r="1365" spans="1:36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tr">
        <v>yes</v>
      </c>
      <c r="S1365" t="s">
        <v>41</v>
      </c>
      <c r="T1365">
        <v>5487</v>
      </c>
      <c r="U1365">
        <v>10410</v>
      </c>
      <c r="V1365">
        <v>1</v>
      </c>
      <c r="W1365" t="s">
        <v>42</v>
      </c>
      <c r="X1365" t="s">
        <v>43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4</v>
      </c>
      <c r="AI1365">
        <v>0</v>
      </c>
      <c r="AJ1365">
        <v>9</v>
      </c>
    </row>
    <row r="1366" spans="1:36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tr">
        <v>yes</v>
      </c>
      <c r="S1366" t="s">
        <v>48</v>
      </c>
      <c r="T1366">
        <v>6834</v>
      </c>
      <c r="U1366">
        <v>19255</v>
      </c>
      <c r="V1366">
        <v>1</v>
      </c>
      <c r="W1366" t="s">
        <v>42</v>
      </c>
      <c r="X1366" t="s">
        <v>35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7</v>
      </c>
      <c r="AI1366">
        <v>0</v>
      </c>
      <c r="AJ1366">
        <v>7</v>
      </c>
    </row>
    <row r="1367" spans="1:36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tr">
        <v>no</v>
      </c>
      <c r="S1367" t="s">
        <v>41</v>
      </c>
      <c r="T1367">
        <v>1091</v>
      </c>
      <c r="U1367">
        <v>10642</v>
      </c>
      <c r="V1367">
        <v>1</v>
      </c>
      <c r="W1367" t="s">
        <v>42</v>
      </c>
      <c r="X1367" t="s">
        <v>43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</row>
    <row r="1368" spans="1:36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tr">
        <v>yes</v>
      </c>
      <c r="S1368" t="s">
        <v>48</v>
      </c>
      <c r="T1368">
        <v>5736</v>
      </c>
      <c r="U1368">
        <v>3987</v>
      </c>
      <c r="V1368">
        <v>6</v>
      </c>
      <c r="W1368" t="s">
        <v>42</v>
      </c>
      <c r="X1368" t="s">
        <v>43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2</v>
      </c>
      <c r="AI1368">
        <v>1</v>
      </c>
      <c r="AJ1368">
        <v>2</v>
      </c>
    </row>
    <row r="1369" spans="1:36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tr">
        <v>no</v>
      </c>
      <c r="S1369" t="s">
        <v>48</v>
      </c>
      <c r="T1369">
        <v>2226</v>
      </c>
      <c r="U1369">
        <v>6073</v>
      </c>
      <c r="V1369">
        <v>1</v>
      </c>
      <c r="W1369" t="s">
        <v>42</v>
      </c>
      <c r="X1369" t="s">
        <v>43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3</v>
      </c>
      <c r="AI1369">
        <v>1</v>
      </c>
      <c r="AJ1369">
        <v>2</v>
      </c>
    </row>
    <row r="1370" spans="1:36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tr">
        <v>yes</v>
      </c>
      <c r="S1370" t="s">
        <v>48</v>
      </c>
      <c r="T1370">
        <v>5747</v>
      </c>
      <c r="U1370">
        <v>26496</v>
      </c>
      <c r="V1370">
        <v>1</v>
      </c>
      <c r="W1370" t="s">
        <v>42</v>
      </c>
      <c r="X1370" t="s">
        <v>35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10</v>
      </c>
      <c r="AI1370">
        <v>6</v>
      </c>
      <c r="AJ1370">
        <v>11</v>
      </c>
    </row>
    <row r="1371" spans="1:36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tr">
        <v>yes</v>
      </c>
      <c r="S1371" t="s">
        <v>41</v>
      </c>
      <c r="T1371">
        <v>9854</v>
      </c>
      <c r="U1371">
        <v>23352</v>
      </c>
      <c r="V1371">
        <v>3</v>
      </c>
      <c r="W1371" t="s">
        <v>42</v>
      </c>
      <c r="X1371" t="s">
        <v>35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0</v>
      </c>
      <c r="AI1371">
        <v>2</v>
      </c>
      <c r="AJ1371">
        <v>2</v>
      </c>
    </row>
    <row r="1372" spans="1:36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tr">
        <v>no</v>
      </c>
      <c r="S1372" t="s">
        <v>48</v>
      </c>
      <c r="T1372">
        <v>5467</v>
      </c>
      <c r="U1372">
        <v>2125</v>
      </c>
      <c r="V1372">
        <v>8</v>
      </c>
      <c r="W1372" t="s">
        <v>42</v>
      </c>
      <c r="X1372" t="s">
        <v>43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7</v>
      </c>
      <c r="AI1372">
        <v>1</v>
      </c>
      <c r="AJ1372">
        <v>7</v>
      </c>
    </row>
    <row r="1373" spans="1:36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tr">
        <v>no</v>
      </c>
      <c r="S1373" t="s">
        <v>48</v>
      </c>
      <c r="T1373">
        <v>5380</v>
      </c>
      <c r="U1373">
        <v>20328</v>
      </c>
      <c r="V1373">
        <v>4</v>
      </c>
      <c r="W1373" t="s">
        <v>42</v>
      </c>
      <c r="X1373" t="s">
        <v>43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0</v>
      </c>
      <c r="AI1373">
        <v>0</v>
      </c>
      <c r="AJ1373">
        <v>0</v>
      </c>
    </row>
    <row r="1374" spans="1:36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tr">
        <v>no</v>
      </c>
      <c r="S1374" t="s">
        <v>48</v>
      </c>
      <c r="T1374">
        <v>5151</v>
      </c>
      <c r="U1374">
        <v>12315</v>
      </c>
      <c r="V1374">
        <v>1</v>
      </c>
      <c r="W1374" t="s">
        <v>42</v>
      </c>
      <c r="X1374" t="s">
        <v>43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7</v>
      </c>
      <c r="AJ1374">
        <v>9</v>
      </c>
    </row>
    <row r="1375" spans="1:36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tr">
        <v>no</v>
      </c>
      <c r="S1375" t="s">
        <v>52</v>
      </c>
      <c r="T1375">
        <v>2133</v>
      </c>
      <c r="U1375">
        <v>18115</v>
      </c>
      <c r="V1375">
        <v>1</v>
      </c>
      <c r="W1375" t="s">
        <v>42</v>
      </c>
      <c r="X1375" t="s">
        <v>35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11</v>
      </c>
      <c r="AI1375">
        <v>0</v>
      </c>
      <c r="AJ1375">
        <v>7</v>
      </c>
    </row>
    <row r="1376" spans="1:36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tr">
        <v>yes</v>
      </c>
      <c r="S1376" t="s">
        <v>48</v>
      </c>
      <c r="T1376">
        <v>17875</v>
      </c>
      <c r="U1376">
        <v>11761</v>
      </c>
      <c r="V1376">
        <v>4</v>
      </c>
      <c r="W1376" t="s">
        <v>42</v>
      </c>
      <c r="X1376" t="s">
        <v>35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0</v>
      </c>
      <c r="AI1376">
        <v>0</v>
      </c>
      <c r="AJ1376">
        <v>0</v>
      </c>
    </row>
    <row r="1377" spans="1:36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tr">
        <v>yes</v>
      </c>
      <c r="S1377" t="s">
        <v>41</v>
      </c>
      <c r="T1377">
        <v>2432</v>
      </c>
      <c r="U1377">
        <v>15318</v>
      </c>
      <c r="V1377">
        <v>3</v>
      </c>
      <c r="W1377" t="s">
        <v>42</v>
      </c>
      <c r="X1377" t="s">
        <v>35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1</v>
      </c>
      <c r="AI1377">
        <v>0</v>
      </c>
      <c r="AJ1377">
        <v>3</v>
      </c>
    </row>
    <row r="1378" spans="1:36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tr">
        <v>yes</v>
      </c>
      <c r="S1378" t="s">
        <v>52</v>
      </c>
      <c r="T1378">
        <v>4771</v>
      </c>
      <c r="U1378">
        <v>14293</v>
      </c>
      <c r="V1378">
        <v>2</v>
      </c>
      <c r="W1378" t="s">
        <v>42</v>
      </c>
      <c r="X1378" t="s">
        <v>43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2</v>
      </c>
      <c r="AI1378">
        <v>0</v>
      </c>
      <c r="AJ1378">
        <v>3</v>
      </c>
    </row>
    <row r="1379" spans="1:36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tr">
        <v>yes</v>
      </c>
      <c r="S1379" t="s">
        <v>48</v>
      </c>
      <c r="T1379">
        <v>19161</v>
      </c>
      <c r="U1379">
        <v>13738</v>
      </c>
      <c r="V1379">
        <v>3</v>
      </c>
      <c r="W1379" t="s">
        <v>42</v>
      </c>
      <c r="X1379" t="s">
        <v>43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4</v>
      </c>
      <c r="AI1379">
        <v>4</v>
      </c>
      <c r="AJ1379">
        <v>3</v>
      </c>
    </row>
    <row r="1380" spans="1:36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tr">
        <v>yes</v>
      </c>
      <c r="S1380" t="s">
        <v>52</v>
      </c>
      <c r="T1380">
        <v>5087</v>
      </c>
      <c r="U1380">
        <v>2900</v>
      </c>
      <c r="V1380">
        <v>3</v>
      </c>
      <c r="W1380" t="s">
        <v>42</v>
      </c>
      <c r="X1380" t="s">
        <v>35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0</v>
      </c>
      <c r="AI1380">
        <v>0</v>
      </c>
      <c r="AJ1380">
        <v>0</v>
      </c>
    </row>
    <row r="1381" spans="1:36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tr">
        <v>no</v>
      </c>
      <c r="S1381" t="s">
        <v>48</v>
      </c>
      <c r="T1381">
        <v>2863</v>
      </c>
      <c r="U1381">
        <v>19555</v>
      </c>
      <c r="V1381">
        <v>1</v>
      </c>
      <c r="W1381" t="s">
        <v>42</v>
      </c>
      <c r="X1381" t="s">
        <v>43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</row>
    <row r="1382" spans="1:36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tr">
        <v>no</v>
      </c>
      <c r="S1382" t="s">
        <v>48</v>
      </c>
      <c r="T1382">
        <v>5561</v>
      </c>
      <c r="U1382">
        <v>15975</v>
      </c>
      <c r="V1382">
        <v>0</v>
      </c>
      <c r="W1382" t="s">
        <v>42</v>
      </c>
      <c r="X1382" t="s">
        <v>43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3</v>
      </c>
      <c r="AI1382">
        <v>0</v>
      </c>
      <c r="AJ1382">
        <v>4</v>
      </c>
    </row>
    <row r="1383" spans="1:36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tr">
        <v>yes</v>
      </c>
      <c r="S1383" t="s">
        <v>41</v>
      </c>
      <c r="T1383">
        <v>2144</v>
      </c>
      <c r="U1383">
        <v>2122</v>
      </c>
      <c r="V1383">
        <v>1</v>
      </c>
      <c r="W1383" t="s">
        <v>42</v>
      </c>
      <c r="X1383" t="s">
        <v>43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3</v>
      </c>
      <c r="AI1383">
        <v>1</v>
      </c>
      <c r="AJ1383">
        <v>4</v>
      </c>
    </row>
    <row r="1384" spans="1:36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tr">
        <v>no</v>
      </c>
      <c r="S1384" t="s">
        <v>52</v>
      </c>
      <c r="T1384">
        <v>3065</v>
      </c>
      <c r="U1384">
        <v>3995</v>
      </c>
      <c r="V1384">
        <v>1</v>
      </c>
      <c r="W1384" t="s">
        <v>42</v>
      </c>
      <c r="X1384" t="s">
        <v>35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2</v>
      </c>
      <c r="AI1384">
        <v>2</v>
      </c>
      <c r="AJ1384">
        <v>3</v>
      </c>
    </row>
    <row r="1385" spans="1:36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tr">
        <v>no</v>
      </c>
      <c r="S1385" t="s">
        <v>48</v>
      </c>
      <c r="T1385">
        <v>2810</v>
      </c>
      <c r="U1385">
        <v>9238</v>
      </c>
      <c r="V1385">
        <v>1</v>
      </c>
      <c r="W1385" t="s">
        <v>42</v>
      </c>
      <c r="X1385" t="s">
        <v>43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4</v>
      </c>
      <c r="AI1385">
        <v>0</v>
      </c>
      <c r="AJ1385">
        <v>2</v>
      </c>
    </row>
    <row r="1386" spans="1:36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tr">
        <v>yes</v>
      </c>
      <c r="S1386" t="s">
        <v>41</v>
      </c>
      <c r="T1386">
        <v>9888</v>
      </c>
      <c r="U1386">
        <v>6770</v>
      </c>
      <c r="V1386">
        <v>1</v>
      </c>
      <c r="W1386" t="s">
        <v>42</v>
      </c>
      <c r="X1386" t="s">
        <v>43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8</v>
      </c>
      <c r="AI1386">
        <v>2</v>
      </c>
      <c r="AJ1386">
        <v>1</v>
      </c>
    </row>
    <row r="1387" spans="1:36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tr">
        <v>yes</v>
      </c>
      <c r="S1387" t="s">
        <v>52</v>
      </c>
      <c r="T1387">
        <v>8628</v>
      </c>
      <c r="U1387">
        <v>22914</v>
      </c>
      <c r="V1387">
        <v>1</v>
      </c>
      <c r="W1387" t="s">
        <v>42</v>
      </c>
      <c r="X1387" t="s">
        <v>43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7</v>
      </c>
      <c r="AI1387">
        <v>1</v>
      </c>
      <c r="AJ1387">
        <v>1</v>
      </c>
    </row>
    <row r="1388" spans="1:36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tr">
        <v>no</v>
      </c>
      <c r="S1388" t="s">
        <v>41</v>
      </c>
      <c r="T1388">
        <v>2867</v>
      </c>
      <c r="U1388">
        <v>20006</v>
      </c>
      <c r="V1388">
        <v>0</v>
      </c>
      <c r="W1388" t="s">
        <v>42</v>
      </c>
      <c r="X1388" t="s">
        <v>43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7</v>
      </c>
      <c r="AI1388">
        <v>7</v>
      </c>
      <c r="AJ1388">
        <v>6</v>
      </c>
    </row>
    <row r="1389" spans="1:36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tr">
        <v>no</v>
      </c>
      <c r="S1389" t="s">
        <v>48</v>
      </c>
      <c r="T1389">
        <v>5373</v>
      </c>
      <c r="U1389">
        <v>6225</v>
      </c>
      <c r="V1389">
        <v>0</v>
      </c>
      <c r="W1389" t="s">
        <v>42</v>
      </c>
      <c r="X1389" t="s">
        <v>43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3</v>
      </c>
      <c r="AI1389">
        <v>0</v>
      </c>
      <c r="AJ1389">
        <v>2</v>
      </c>
    </row>
    <row r="1390" spans="1:36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tr">
        <v>yes</v>
      </c>
      <c r="S1390" t="s">
        <v>52</v>
      </c>
      <c r="T1390">
        <v>6667</v>
      </c>
      <c r="U1390">
        <v>16542</v>
      </c>
      <c r="V1390">
        <v>5</v>
      </c>
      <c r="W1390" t="s">
        <v>42</v>
      </c>
      <c r="X1390" t="s">
        <v>43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1</v>
      </c>
      <c r="AI1390">
        <v>1</v>
      </c>
      <c r="AJ1390">
        <v>2</v>
      </c>
    </row>
    <row r="1391" spans="1:36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tr">
        <v>no</v>
      </c>
      <c r="S1391" t="s">
        <v>48</v>
      </c>
      <c r="T1391">
        <v>5003</v>
      </c>
      <c r="U1391">
        <v>5771</v>
      </c>
      <c r="V1391">
        <v>1</v>
      </c>
      <c r="W1391" t="s">
        <v>42</v>
      </c>
      <c r="X1391" t="s">
        <v>43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8</v>
      </c>
      <c r="AI1391">
        <v>8</v>
      </c>
      <c r="AJ1391">
        <v>7</v>
      </c>
    </row>
    <row r="1392" spans="1:36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tr">
        <v>yes</v>
      </c>
      <c r="S1392" t="s">
        <v>52</v>
      </c>
      <c r="T1392">
        <v>2367</v>
      </c>
      <c r="U1392">
        <v>18779</v>
      </c>
      <c r="V1392">
        <v>5</v>
      </c>
      <c r="W1392" t="s">
        <v>42</v>
      </c>
      <c r="X1392" t="s">
        <v>43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1</v>
      </c>
      <c r="AI1392">
        <v>0</v>
      </c>
      <c r="AJ1392">
        <v>3</v>
      </c>
    </row>
    <row r="1393" spans="1:36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tr">
        <v>no</v>
      </c>
      <c r="S1393" t="s">
        <v>41</v>
      </c>
      <c r="T1393">
        <v>2858</v>
      </c>
      <c r="U1393">
        <v>11473</v>
      </c>
      <c r="V1393">
        <v>4</v>
      </c>
      <c r="W1393" t="s">
        <v>42</v>
      </c>
      <c r="X1393" t="s">
        <v>43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0</v>
      </c>
      <c r="AI1393">
        <v>0</v>
      </c>
      <c r="AJ1393">
        <v>0</v>
      </c>
    </row>
    <row r="1394" spans="1:36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tr">
        <v>yes</v>
      </c>
      <c r="S1394" t="s">
        <v>48</v>
      </c>
      <c r="T1394">
        <v>5204</v>
      </c>
      <c r="U1394">
        <v>13586</v>
      </c>
      <c r="V1394">
        <v>1</v>
      </c>
      <c r="W1394" t="s">
        <v>42</v>
      </c>
      <c r="X1394" t="s">
        <v>35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8</v>
      </c>
      <c r="AI1394">
        <v>0</v>
      </c>
      <c r="AJ1394">
        <v>9</v>
      </c>
    </row>
    <row r="1395" spans="1:36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tr">
        <v>yes</v>
      </c>
      <c r="S1395" t="s">
        <v>41</v>
      </c>
      <c r="T1395">
        <v>4105</v>
      </c>
      <c r="U1395">
        <v>5099</v>
      </c>
      <c r="V1395">
        <v>1</v>
      </c>
      <c r="W1395" t="s">
        <v>42</v>
      </c>
      <c r="X1395" t="s">
        <v>43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7</v>
      </c>
      <c r="AI1395">
        <v>0</v>
      </c>
      <c r="AJ1395">
        <v>7</v>
      </c>
    </row>
    <row r="1396" spans="1:36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tr">
        <v>yes</v>
      </c>
      <c r="S1396" t="s">
        <v>41</v>
      </c>
      <c r="T1396">
        <v>9679</v>
      </c>
      <c r="U1396">
        <v>10138</v>
      </c>
      <c r="V1396">
        <v>8</v>
      </c>
      <c r="W1396" t="s">
        <v>42</v>
      </c>
      <c r="X1396" t="s">
        <v>43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0</v>
      </c>
      <c r="AI1396">
        <v>0</v>
      </c>
      <c r="AJ1396">
        <v>0</v>
      </c>
    </row>
    <row r="1397" spans="1:36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tr">
        <v>yes</v>
      </c>
      <c r="S1397" t="s">
        <v>48</v>
      </c>
      <c r="T1397">
        <v>5617</v>
      </c>
      <c r="U1397">
        <v>21075</v>
      </c>
      <c r="V1397">
        <v>1</v>
      </c>
      <c r="W1397" t="s">
        <v>42</v>
      </c>
      <c r="X1397" t="s">
        <v>35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7</v>
      </c>
      <c r="AI1397">
        <v>0</v>
      </c>
      <c r="AJ1397">
        <v>8</v>
      </c>
    </row>
    <row r="1398" spans="1:36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tr">
        <v>no</v>
      </c>
      <c r="S1398" t="s">
        <v>41</v>
      </c>
      <c r="T1398">
        <v>10448</v>
      </c>
      <c r="U1398">
        <v>5843</v>
      </c>
      <c r="V1398">
        <v>6</v>
      </c>
      <c r="W1398" t="s">
        <v>42</v>
      </c>
      <c r="X1398" t="s">
        <v>35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2</v>
      </c>
    </row>
    <row r="1399" spans="1:36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tr">
        <v>yes</v>
      </c>
      <c r="S1399" t="s">
        <v>48</v>
      </c>
      <c r="T1399">
        <v>2897</v>
      </c>
      <c r="U1399">
        <v>22474</v>
      </c>
      <c r="V1399">
        <v>3</v>
      </c>
      <c r="W1399" t="s">
        <v>42</v>
      </c>
      <c r="X1399" t="s">
        <v>43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3</v>
      </c>
      <c r="AI1399">
        <v>2</v>
      </c>
      <c r="AJ1399">
        <v>3</v>
      </c>
    </row>
    <row r="1400" spans="1:36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tr">
        <v>yes</v>
      </c>
      <c r="S1400" t="s">
        <v>52</v>
      </c>
      <c r="T1400">
        <v>5968</v>
      </c>
      <c r="U1400">
        <v>18079</v>
      </c>
      <c r="V1400">
        <v>1</v>
      </c>
      <c r="W1400" t="s">
        <v>42</v>
      </c>
      <c r="X1400" t="s">
        <v>43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7</v>
      </c>
      <c r="AI1400">
        <v>2</v>
      </c>
      <c r="AJ1400">
        <v>8</v>
      </c>
    </row>
    <row r="1401" spans="1:36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tr">
        <v>yes</v>
      </c>
      <c r="S1401" t="s">
        <v>48</v>
      </c>
      <c r="T1401">
        <v>7510</v>
      </c>
      <c r="U1401">
        <v>16873</v>
      </c>
      <c r="V1401">
        <v>1</v>
      </c>
      <c r="W1401" t="s">
        <v>42</v>
      </c>
      <c r="X1401" t="s">
        <v>43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9</v>
      </c>
      <c r="AI1401">
        <v>0</v>
      </c>
      <c r="AJ1401">
        <v>9</v>
      </c>
    </row>
    <row r="1402" spans="1:36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tr">
        <v>no</v>
      </c>
      <c r="S1402" t="s">
        <v>48</v>
      </c>
      <c r="T1402">
        <v>2991</v>
      </c>
      <c r="U1402">
        <v>5224</v>
      </c>
      <c r="V1402">
        <v>0</v>
      </c>
      <c r="W1402" t="s">
        <v>42</v>
      </c>
      <c r="X1402" t="s">
        <v>35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2</v>
      </c>
      <c r="AI1402">
        <v>1</v>
      </c>
      <c r="AJ1402">
        <v>2</v>
      </c>
    </row>
    <row r="1403" spans="1:36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tr">
        <v>no</v>
      </c>
      <c r="S1403" t="s">
        <v>48</v>
      </c>
      <c r="T1403">
        <v>19636</v>
      </c>
      <c r="U1403">
        <v>25811</v>
      </c>
      <c r="V1403">
        <v>4</v>
      </c>
      <c r="W1403" t="s">
        <v>42</v>
      </c>
      <c r="X1403" t="s">
        <v>35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9</v>
      </c>
      <c r="AI1403">
        <v>1</v>
      </c>
      <c r="AJ1403">
        <v>4</v>
      </c>
    </row>
    <row r="1404" spans="1:36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tr">
        <v>yes</v>
      </c>
      <c r="S1404" t="s">
        <v>52</v>
      </c>
      <c r="T1404">
        <v>1129</v>
      </c>
      <c r="U1404">
        <v>17536</v>
      </c>
      <c r="V1404">
        <v>1</v>
      </c>
      <c r="W1404" t="s">
        <v>42</v>
      </c>
      <c r="X1404" t="s">
        <v>35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</row>
    <row r="1405" spans="1:36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tr">
        <v>no</v>
      </c>
      <c r="S1405" t="s">
        <v>41</v>
      </c>
      <c r="T1405">
        <v>13341</v>
      </c>
      <c r="U1405">
        <v>25098</v>
      </c>
      <c r="V1405">
        <v>0</v>
      </c>
      <c r="W1405" t="s">
        <v>42</v>
      </c>
      <c r="X1405" t="s">
        <v>43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8</v>
      </c>
      <c r="AI1405">
        <v>11</v>
      </c>
      <c r="AJ1405">
        <v>10</v>
      </c>
    </row>
    <row r="1406" spans="1:36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tr">
        <v>yes</v>
      </c>
      <c r="S1406" t="s">
        <v>41</v>
      </c>
      <c r="T1406">
        <v>4332</v>
      </c>
      <c r="U1406">
        <v>14811</v>
      </c>
      <c r="V1406">
        <v>1</v>
      </c>
      <c r="W1406" t="s">
        <v>42</v>
      </c>
      <c r="X1406" t="s">
        <v>43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9</v>
      </c>
      <c r="AI1406">
        <v>3</v>
      </c>
      <c r="AJ1406">
        <v>7</v>
      </c>
    </row>
    <row r="1407" spans="1:36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tr">
        <v>yes</v>
      </c>
      <c r="S1407" t="s">
        <v>48</v>
      </c>
      <c r="T1407">
        <v>11031</v>
      </c>
      <c r="U1407">
        <v>26862</v>
      </c>
      <c r="V1407">
        <v>4</v>
      </c>
      <c r="W1407" t="s">
        <v>42</v>
      </c>
      <c r="X1407" t="s">
        <v>43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7</v>
      </c>
      <c r="AI1407">
        <v>4</v>
      </c>
      <c r="AJ1407">
        <v>8</v>
      </c>
    </row>
    <row r="1408" spans="1:36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tr">
        <v>no</v>
      </c>
      <c r="S1408" t="s">
        <v>41</v>
      </c>
      <c r="T1408">
        <v>4440</v>
      </c>
      <c r="U1408">
        <v>25198</v>
      </c>
      <c r="V1408">
        <v>6</v>
      </c>
      <c r="W1408" t="s">
        <v>42</v>
      </c>
      <c r="X1408" t="s">
        <v>35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2</v>
      </c>
      <c r="AI1408">
        <v>1</v>
      </c>
      <c r="AJ1408">
        <v>4</v>
      </c>
    </row>
    <row r="1409" spans="1:36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tr">
        <v>yes</v>
      </c>
      <c r="S1409" t="s">
        <v>41</v>
      </c>
      <c r="T1409">
        <v>4617</v>
      </c>
      <c r="U1409">
        <v>14120</v>
      </c>
      <c r="V1409">
        <v>1</v>
      </c>
      <c r="W1409" t="s">
        <v>42</v>
      </c>
      <c r="X1409" t="s">
        <v>43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3</v>
      </c>
      <c r="AI1409">
        <v>1</v>
      </c>
      <c r="AJ1409">
        <v>2</v>
      </c>
    </row>
    <row r="1410" spans="1:36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tr">
        <v>yes</v>
      </c>
      <c r="S1410" t="s">
        <v>41</v>
      </c>
      <c r="T1410">
        <v>2647</v>
      </c>
      <c r="U1410">
        <v>13672</v>
      </c>
      <c r="V1410">
        <v>1</v>
      </c>
      <c r="W1410" t="s">
        <v>42</v>
      </c>
      <c r="X1410" t="s">
        <v>43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2</v>
      </c>
      <c r="AI1410">
        <v>1</v>
      </c>
      <c r="AJ1410">
        <v>4</v>
      </c>
    </row>
    <row r="1411" spans="1:36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tr">
        <v>yes</v>
      </c>
      <c r="S1411" t="s">
        <v>48</v>
      </c>
      <c r="T1411">
        <v>6323</v>
      </c>
      <c r="U1411">
        <v>26849</v>
      </c>
      <c r="V1411">
        <v>1</v>
      </c>
      <c r="W1411" t="s">
        <v>42</v>
      </c>
      <c r="X1411" t="s">
        <v>43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9</v>
      </c>
      <c r="AI1411">
        <v>9</v>
      </c>
      <c r="AJ1411">
        <v>4</v>
      </c>
    </row>
    <row r="1412" spans="1:36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tr">
        <v>no</v>
      </c>
      <c r="S1412" t="s">
        <v>48</v>
      </c>
      <c r="T1412">
        <v>5677</v>
      </c>
      <c r="U1412">
        <v>4258</v>
      </c>
      <c r="V1412">
        <v>3</v>
      </c>
      <c r="W1412" t="s">
        <v>42</v>
      </c>
      <c r="X1412" t="s">
        <v>43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8</v>
      </c>
      <c r="AI1412">
        <v>5</v>
      </c>
      <c r="AJ1412">
        <v>10</v>
      </c>
    </row>
    <row r="1413" spans="1:36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tr">
        <v>no</v>
      </c>
      <c r="S1413" t="s">
        <v>48</v>
      </c>
      <c r="T1413">
        <v>2187</v>
      </c>
      <c r="U1413">
        <v>19655</v>
      </c>
      <c r="V1413">
        <v>4</v>
      </c>
      <c r="W1413" t="s">
        <v>42</v>
      </c>
      <c r="X1413" t="s">
        <v>43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0</v>
      </c>
      <c r="AI1413">
        <v>1</v>
      </c>
      <c r="AJ1413">
        <v>2</v>
      </c>
    </row>
    <row r="1414" spans="1:36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tr">
        <v>no</v>
      </c>
      <c r="S1414" t="s">
        <v>48</v>
      </c>
      <c r="T1414">
        <v>3748</v>
      </c>
      <c r="U1414">
        <v>4077</v>
      </c>
      <c r="V1414">
        <v>1</v>
      </c>
      <c r="W1414" t="s">
        <v>42</v>
      </c>
      <c r="X1414" t="s">
        <v>43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8</v>
      </c>
      <c r="AI1414">
        <v>1</v>
      </c>
      <c r="AJ1414">
        <v>7</v>
      </c>
    </row>
    <row r="1415" spans="1:36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tr">
        <v>yes</v>
      </c>
      <c r="S1415" t="s">
        <v>52</v>
      </c>
      <c r="T1415">
        <v>3977</v>
      </c>
      <c r="U1415">
        <v>7298</v>
      </c>
      <c r="V1415">
        <v>6</v>
      </c>
      <c r="W1415" t="s">
        <v>42</v>
      </c>
      <c r="X1415" t="s">
        <v>35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2</v>
      </c>
      <c r="AI1415">
        <v>0</v>
      </c>
      <c r="AJ1415">
        <v>2</v>
      </c>
    </row>
    <row r="1416" spans="1:36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tr">
        <v>yes</v>
      </c>
      <c r="S1416" t="s">
        <v>41</v>
      </c>
      <c r="T1416">
        <v>8633</v>
      </c>
      <c r="U1416">
        <v>13084</v>
      </c>
      <c r="V1416">
        <v>2</v>
      </c>
      <c r="W1416" t="s">
        <v>42</v>
      </c>
      <c r="X1416" t="s">
        <v>43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14</v>
      </c>
      <c r="AI1416">
        <v>12</v>
      </c>
      <c r="AJ1416">
        <v>11</v>
      </c>
    </row>
    <row r="1417" spans="1:36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tr">
        <v>yes</v>
      </c>
      <c r="S1417" t="s">
        <v>52</v>
      </c>
      <c r="T1417">
        <v>2008</v>
      </c>
      <c r="U1417">
        <v>20439</v>
      </c>
      <c r="V1417">
        <v>1</v>
      </c>
      <c r="W1417" t="s">
        <v>42</v>
      </c>
      <c r="X1417" t="s">
        <v>43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1</v>
      </c>
      <c r="AI1417">
        <v>0</v>
      </c>
      <c r="AJ1417">
        <v>0</v>
      </c>
    </row>
    <row r="1418" spans="1:36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tr">
        <v>no</v>
      </c>
      <c r="S1418" t="s">
        <v>48</v>
      </c>
      <c r="T1418">
        <v>4440</v>
      </c>
      <c r="U1418">
        <v>7636</v>
      </c>
      <c r="V1418">
        <v>0</v>
      </c>
      <c r="W1418" t="s">
        <v>42</v>
      </c>
      <c r="X1418" t="s">
        <v>43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13</v>
      </c>
      <c r="AI1418">
        <v>5</v>
      </c>
      <c r="AJ1418">
        <v>8</v>
      </c>
    </row>
    <row r="1419" spans="1:36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tr">
        <v>yes</v>
      </c>
      <c r="S1419" t="s">
        <v>48</v>
      </c>
      <c r="T1419">
        <v>3067</v>
      </c>
      <c r="U1419">
        <v>6393</v>
      </c>
      <c r="V1419">
        <v>0</v>
      </c>
      <c r="W1419" t="s">
        <v>42</v>
      </c>
      <c r="X1419" t="s">
        <v>43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2</v>
      </c>
      <c r="AI1419">
        <v>1</v>
      </c>
      <c r="AJ1419">
        <v>2</v>
      </c>
    </row>
    <row r="1420" spans="1:36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tr">
        <v>yes</v>
      </c>
      <c r="S1420" t="s">
        <v>48</v>
      </c>
      <c r="T1420">
        <v>5321</v>
      </c>
      <c r="U1420">
        <v>14284</v>
      </c>
      <c r="V1420">
        <v>2</v>
      </c>
      <c r="W1420" t="s">
        <v>42</v>
      </c>
      <c r="X1420" t="s">
        <v>43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3</v>
      </c>
      <c r="AI1420">
        <v>7</v>
      </c>
      <c r="AJ1420">
        <v>7</v>
      </c>
    </row>
    <row r="1421" spans="1:36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tr">
        <v>no</v>
      </c>
      <c r="S1421" t="s">
        <v>52</v>
      </c>
      <c r="T1421">
        <v>5410</v>
      </c>
      <c r="U1421">
        <v>11189</v>
      </c>
      <c r="V1421">
        <v>6</v>
      </c>
      <c r="W1421" t="s">
        <v>42</v>
      </c>
      <c r="X1421" t="s">
        <v>35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3</v>
      </c>
      <c r="AI1421">
        <v>1</v>
      </c>
      <c r="AJ1421">
        <v>2</v>
      </c>
    </row>
    <row r="1422" spans="1:36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tr">
        <v>yes</v>
      </c>
      <c r="S1422" t="s">
        <v>48</v>
      </c>
      <c r="T1422">
        <v>2782</v>
      </c>
      <c r="U1422">
        <v>21412</v>
      </c>
      <c r="V1422">
        <v>3</v>
      </c>
      <c r="W1422" t="s">
        <v>42</v>
      </c>
      <c r="X1422" t="s">
        <v>43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3</v>
      </c>
      <c r="AI1422">
        <v>1</v>
      </c>
      <c r="AJ1422">
        <v>0</v>
      </c>
    </row>
    <row r="1423" spans="1:36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tr">
        <v>no</v>
      </c>
      <c r="S1423" t="s">
        <v>48</v>
      </c>
      <c r="T1423">
        <v>11957</v>
      </c>
      <c r="U1423">
        <v>17231</v>
      </c>
      <c r="V1423">
        <v>0</v>
      </c>
      <c r="W1423" t="s">
        <v>42</v>
      </c>
      <c r="X1423" t="s">
        <v>43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8</v>
      </c>
      <c r="AI1423">
        <v>5</v>
      </c>
      <c r="AJ1423">
        <v>12</v>
      </c>
    </row>
    <row r="1424" spans="1:36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tr">
        <v>yes</v>
      </c>
      <c r="S1424" t="s">
        <v>48</v>
      </c>
      <c r="T1424">
        <v>2660</v>
      </c>
      <c r="U1424">
        <v>20232</v>
      </c>
      <c r="V1424">
        <v>7</v>
      </c>
      <c r="W1424" t="s">
        <v>42</v>
      </c>
      <c r="X1424" t="s">
        <v>35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2</v>
      </c>
      <c r="AI1424">
        <v>2</v>
      </c>
      <c r="AJ1424">
        <v>2</v>
      </c>
    </row>
    <row r="1425" spans="1:36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tr">
        <v>yes</v>
      </c>
      <c r="S1425" t="s">
        <v>41</v>
      </c>
      <c r="T1425">
        <v>3375</v>
      </c>
      <c r="U1425">
        <v>17624</v>
      </c>
      <c r="V1425">
        <v>0</v>
      </c>
      <c r="W1425" t="s">
        <v>42</v>
      </c>
      <c r="X1425" t="s">
        <v>43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2</v>
      </c>
      <c r="AI1425">
        <v>1</v>
      </c>
      <c r="AJ1425">
        <v>2</v>
      </c>
    </row>
    <row r="1426" spans="1:36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tr">
        <v>yes</v>
      </c>
      <c r="S1426" t="s">
        <v>41</v>
      </c>
      <c r="T1426">
        <v>5098</v>
      </c>
      <c r="U1426">
        <v>18698</v>
      </c>
      <c r="V1426">
        <v>1</v>
      </c>
      <c r="W1426" t="s">
        <v>42</v>
      </c>
      <c r="X1426" t="s">
        <v>43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7</v>
      </c>
      <c r="AI1426">
        <v>0</v>
      </c>
      <c r="AJ1426">
        <v>8</v>
      </c>
    </row>
    <row r="1427" spans="1:36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tr">
        <v>yes</v>
      </c>
      <c r="S1427" t="s">
        <v>48</v>
      </c>
      <c r="T1427">
        <v>4878</v>
      </c>
      <c r="U1427">
        <v>21653</v>
      </c>
      <c r="V1427">
        <v>0</v>
      </c>
      <c r="W1427" t="s">
        <v>42</v>
      </c>
      <c r="X1427" t="s">
        <v>35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7</v>
      </c>
      <c r="AI1427">
        <v>8</v>
      </c>
      <c r="AJ1427">
        <v>1</v>
      </c>
    </row>
    <row r="1428" spans="1:36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tr">
        <v>no</v>
      </c>
      <c r="S1428" t="s">
        <v>41</v>
      </c>
      <c r="T1428">
        <v>2837</v>
      </c>
      <c r="U1428">
        <v>15919</v>
      </c>
      <c r="V1428">
        <v>1</v>
      </c>
      <c r="W1428" t="s">
        <v>42</v>
      </c>
      <c r="X1428" t="s">
        <v>43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2</v>
      </c>
      <c r="AI1428">
        <v>4</v>
      </c>
      <c r="AJ1428">
        <v>1</v>
      </c>
    </row>
    <row r="1429" spans="1:36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tr">
        <v>yes</v>
      </c>
      <c r="S1429" t="s">
        <v>48</v>
      </c>
      <c r="T1429">
        <v>2406</v>
      </c>
      <c r="U1429">
        <v>4060</v>
      </c>
      <c r="V1429">
        <v>8</v>
      </c>
      <c r="W1429" t="s">
        <v>42</v>
      </c>
      <c r="X1429" t="s">
        <v>43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0</v>
      </c>
      <c r="AI1429">
        <v>0</v>
      </c>
      <c r="AJ1429">
        <v>0</v>
      </c>
    </row>
    <row r="1430" spans="1:36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tr">
        <v>no</v>
      </c>
      <c r="S1430" t="s">
        <v>48</v>
      </c>
      <c r="T1430">
        <v>2269</v>
      </c>
      <c r="U1430">
        <v>18024</v>
      </c>
      <c r="V1430">
        <v>0</v>
      </c>
      <c r="W1430" t="s">
        <v>42</v>
      </c>
      <c r="X1430" t="s">
        <v>43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2</v>
      </c>
      <c r="AI1430">
        <v>2</v>
      </c>
      <c r="AJ1430">
        <v>2</v>
      </c>
    </row>
    <row r="1431" spans="1:36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tr">
        <v>yes</v>
      </c>
      <c r="S1431" t="s">
        <v>41</v>
      </c>
      <c r="T1431">
        <v>4108</v>
      </c>
      <c r="U1431">
        <v>5340</v>
      </c>
      <c r="V1431">
        <v>7</v>
      </c>
      <c r="W1431" t="s">
        <v>42</v>
      </c>
      <c r="X1431" t="s">
        <v>43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7</v>
      </c>
      <c r="AI1431">
        <v>1</v>
      </c>
      <c r="AJ1431">
        <v>7</v>
      </c>
    </row>
    <row r="1432" spans="1:36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tr">
        <v>yes</v>
      </c>
      <c r="S1432" t="s">
        <v>48</v>
      </c>
      <c r="T1432">
        <v>13206</v>
      </c>
      <c r="U1432">
        <v>3376</v>
      </c>
      <c r="V1432">
        <v>3</v>
      </c>
      <c r="W1432" t="s">
        <v>42</v>
      </c>
      <c r="X1432" t="s">
        <v>43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16</v>
      </c>
      <c r="AI1432">
        <v>1</v>
      </c>
      <c r="AJ1432">
        <v>11</v>
      </c>
    </row>
    <row r="1433" spans="1:36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tr">
        <v>yes</v>
      </c>
      <c r="S1433" t="s">
        <v>48</v>
      </c>
      <c r="T1433">
        <v>10422</v>
      </c>
      <c r="U1433">
        <v>24032</v>
      </c>
      <c r="V1433">
        <v>1</v>
      </c>
      <c r="W1433" t="s">
        <v>42</v>
      </c>
      <c r="X1433" t="s">
        <v>43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10</v>
      </c>
      <c r="AI1433">
        <v>5</v>
      </c>
      <c r="AJ1433">
        <v>7</v>
      </c>
    </row>
    <row r="1434" spans="1:36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tr">
        <v>yes</v>
      </c>
      <c r="S1434" t="s">
        <v>48</v>
      </c>
      <c r="T1434">
        <v>13744</v>
      </c>
      <c r="U1434">
        <v>15471</v>
      </c>
      <c r="V1434">
        <v>1</v>
      </c>
      <c r="W1434" t="s">
        <v>42</v>
      </c>
      <c r="X1434" t="s">
        <v>35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11</v>
      </c>
      <c r="AI1434">
        <v>6</v>
      </c>
      <c r="AJ1434">
        <v>8</v>
      </c>
    </row>
    <row r="1435" spans="1:36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tr">
        <v>yes</v>
      </c>
      <c r="S1435" t="s">
        <v>52</v>
      </c>
      <c r="T1435">
        <v>4907</v>
      </c>
      <c r="U1435">
        <v>13684</v>
      </c>
      <c r="V1435">
        <v>0</v>
      </c>
      <c r="W1435" t="s">
        <v>42</v>
      </c>
      <c r="X1435" t="s">
        <v>35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3</v>
      </c>
      <c r="AI1435">
        <v>0</v>
      </c>
      <c r="AJ1435">
        <v>4</v>
      </c>
    </row>
    <row r="1436" spans="1:36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tr">
        <v>yes</v>
      </c>
      <c r="S1436" t="s">
        <v>52</v>
      </c>
      <c r="T1436">
        <v>3482</v>
      </c>
      <c r="U1436">
        <v>19788</v>
      </c>
      <c r="V1436">
        <v>2</v>
      </c>
      <c r="W1436" t="s">
        <v>42</v>
      </c>
      <c r="X1436" t="s">
        <v>43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8</v>
      </c>
      <c r="AI1436">
        <v>0</v>
      </c>
      <c r="AJ1436">
        <v>0</v>
      </c>
    </row>
    <row r="1437" spans="1:36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tr">
        <v>yes</v>
      </c>
      <c r="S1437" t="s">
        <v>41</v>
      </c>
      <c r="T1437">
        <v>2436</v>
      </c>
      <c r="U1437">
        <v>13422</v>
      </c>
      <c r="V1437">
        <v>6</v>
      </c>
      <c r="W1437" t="s">
        <v>42</v>
      </c>
      <c r="X1437" t="s">
        <v>35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3</v>
      </c>
      <c r="AI1437">
        <v>1</v>
      </c>
      <c r="AJ1437">
        <v>2</v>
      </c>
    </row>
    <row r="1438" spans="1:36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tr">
        <v>no</v>
      </c>
      <c r="S1438" t="s">
        <v>41</v>
      </c>
      <c r="T1438">
        <v>2380</v>
      </c>
      <c r="U1438">
        <v>25479</v>
      </c>
      <c r="V1438">
        <v>1</v>
      </c>
      <c r="W1438" t="s">
        <v>42</v>
      </c>
      <c r="X1438" t="s">
        <v>35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2</v>
      </c>
      <c r="AI1438">
        <v>1</v>
      </c>
      <c r="AJ1438">
        <v>2</v>
      </c>
    </row>
    <row r="1439" spans="1:36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tr">
        <v>yes</v>
      </c>
      <c r="S1439" t="s">
        <v>41</v>
      </c>
      <c r="T1439">
        <v>19431</v>
      </c>
      <c r="U1439">
        <v>15302</v>
      </c>
      <c r="V1439">
        <v>2</v>
      </c>
      <c r="W1439" t="s">
        <v>42</v>
      </c>
      <c r="X1439" t="s">
        <v>43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0</v>
      </c>
      <c r="AI1439">
        <v>1</v>
      </c>
      <c r="AJ1439">
        <v>3</v>
      </c>
    </row>
    <row r="1440" spans="1:36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tr">
        <v>no</v>
      </c>
      <c r="S1440" t="s">
        <v>48</v>
      </c>
      <c r="T1440">
        <v>1790</v>
      </c>
      <c r="U1440">
        <v>26956</v>
      </c>
      <c r="V1440">
        <v>1</v>
      </c>
      <c r="W1440" t="s">
        <v>42</v>
      </c>
      <c r="X1440" t="s">
        <v>43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1</v>
      </c>
      <c r="AJ1440">
        <v>0</v>
      </c>
    </row>
    <row r="1441" spans="1:36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tr">
        <v>yes</v>
      </c>
      <c r="S1441" t="s">
        <v>48</v>
      </c>
      <c r="T1441">
        <v>7644</v>
      </c>
      <c r="U1441">
        <v>12695</v>
      </c>
      <c r="V1441">
        <v>0</v>
      </c>
      <c r="W1441" t="s">
        <v>42</v>
      </c>
      <c r="X1441" t="s">
        <v>43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7</v>
      </c>
      <c r="AI1441">
        <v>3</v>
      </c>
      <c r="AJ1441">
        <v>4</v>
      </c>
    </row>
    <row r="1442" spans="1:36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tr">
        <v>no</v>
      </c>
      <c r="S1442" t="s">
        <v>52</v>
      </c>
      <c r="T1442">
        <v>5131</v>
      </c>
      <c r="U1442">
        <v>9192</v>
      </c>
      <c r="V1442">
        <v>7</v>
      </c>
      <c r="W1442" t="s">
        <v>42</v>
      </c>
      <c r="X1442" t="s">
        <v>43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2</v>
      </c>
      <c r="AI1442">
        <v>0</v>
      </c>
      <c r="AJ1442">
        <v>2</v>
      </c>
    </row>
    <row r="1443" spans="1:36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tr">
        <v>yes</v>
      </c>
      <c r="S1443" t="s">
        <v>52</v>
      </c>
      <c r="T1443">
        <v>6306</v>
      </c>
      <c r="U1443">
        <v>26236</v>
      </c>
      <c r="V1443">
        <v>1</v>
      </c>
      <c r="W1443" t="s">
        <v>42</v>
      </c>
      <c r="X1443" t="s">
        <v>43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12</v>
      </c>
      <c r="AI1443">
        <v>1</v>
      </c>
      <c r="AJ1443">
        <v>9</v>
      </c>
    </row>
    <row r="1444" spans="1:36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tr">
        <v>yes</v>
      </c>
      <c r="S1444" t="s">
        <v>48</v>
      </c>
      <c r="T1444">
        <v>4787</v>
      </c>
      <c r="U1444">
        <v>26124</v>
      </c>
      <c r="V1444">
        <v>9</v>
      </c>
      <c r="W1444" t="s">
        <v>42</v>
      </c>
      <c r="X1444" t="s">
        <v>35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</row>
    <row r="1445" spans="1:36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tr">
        <v>yes</v>
      </c>
      <c r="S1445" t="s">
        <v>48</v>
      </c>
      <c r="T1445">
        <v>18880</v>
      </c>
      <c r="U1445">
        <v>17312</v>
      </c>
      <c r="V1445">
        <v>5</v>
      </c>
      <c r="W1445" t="s">
        <v>42</v>
      </c>
      <c r="X1445" t="s">
        <v>43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6</v>
      </c>
      <c r="AI1445">
        <v>4</v>
      </c>
      <c r="AJ1445">
        <v>14</v>
      </c>
    </row>
    <row r="1446" spans="1:36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tr">
        <v>yes</v>
      </c>
      <c r="S1446" t="s">
        <v>48</v>
      </c>
      <c r="T1446">
        <v>2339</v>
      </c>
      <c r="U1446">
        <v>3666</v>
      </c>
      <c r="V1446">
        <v>8</v>
      </c>
      <c r="W1446" t="s">
        <v>42</v>
      </c>
      <c r="X1446" t="s">
        <v>43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9</v>
      </c>
      <c r="AI1446">
        <v>9</v>
      </c>
      <c r="AJ1446">
        <v>8</v>
      </c>
    </row>
    <row r="1447" spans="1:36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tr">
        <v>no</v>
      </c>
      <c r="S1447" t="s">
        <v>48</v>
      </c>
      <c r="T1447">
        <v>13570</v>
      </c>
      <c r="U1447">
        <v>5640</v>
      </c>
      <c r="V1447">
        <v>0</v>
      </c>
      <c r="W1447" t="s">
        <v>42</v>
      </c>
      <c r="X1447" t="s">
        <v>43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7</v>
      </c>
      <c r="AI1447">
        <v>0</v>
      </c>
      <c r="AJ1447">
        <v>10</v>
      </c>
    </row>
    <row r="1448" spans="1:36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tr">
        <v>yes</v>
      </c>
      <c r="S1448" t="s">
        <v>48</v>
      </c>
      <c r="T1448">
        <v>6712</v>
      </c>
      <c r="U1448">
        <v>8978</v>
      </c>
      <c r="V1448">
        <v>1</v>
      </c>
      <c r="W1448" t="s">
        <v>42</v>
      </c>
      <c r="X1448" t="s">
        <v>43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7</v>
      </c>
      <c r="AI1448">
        <v>1</v>
      </c>
      <c r="AJ1448">
        <v>7</v>
      </c>
    </row>
    <row r="1449" spans="1:36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tr">
        <v>yes</v>
      </c>
      <c r="S1449" t="s">
        <v>52</v>
      </c>
      <c r="T1449">
        <v>5406</v>
      </c>
      <c r="U1449">
        <v>10436</v>
      </c>
      <c r="V1449">
        <v>1</v>
      </c>
      <c r="W1449" t="s">
        <v>42</v>
      </c>
      <c r="X1449" t="s">
        <v>43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12</v>
      </c>
      <c r="AI1449">
        <v>11</v>
      </c>
      <c r="AJ1449">
        <v>11</v>
      </c>
    </row>
    <row r="1450" spans="1:36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tr">
        <v>no</v>
      </c>
      <c r="S1450" t="s">
        <v>52</v>
      </c>
      <c r="T1450">
        <v>8938</v>
      </c>
      <c r="U1450">
        <v>12227</v>
      </c>
      <c r="V1450">
        <v>2</v>
      </c>
      <c r="W1450" t="s">
        <v>42</v>
      </c>
      <c r="X1450" t="s">
        <v>43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4</v>
      </c>
      <c r="AI1450">
        <v>0</v>
      </c>
      <c r="AJ1450">
        <v>4</v>
      </c>
    </row>
    <row r="1451" spans="1:36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tr">
        <v>no</v>
      </c>
      <c r="S1451" t="s">
        <v>41</v>
      </c>
      <c r="T1451">
        <v>2439</v>
      </c>
      <c r="U1451">
        <v>11288</v>
      </c>
      <c r="V1451">
        <v>1</v>
      </c>
      <c r="W1451" t="s">
        <v>42</v>
      </c>
      <c r="X1451" t="s">
        <v>43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2</v>
      </c>
      <c r="AI1451">
        <v>1</v>
      </c>
      <c r="AJ1451">
        <v>2</v>
      </c>
    </row>
    <row r="1452" spans="1:36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tr">
        <v>yes</v>
      </c>
      <c r="S1452" t="s">
        <v>41</v>
      </c>
      <c r="T1452">
        <v>8837</v>
      </c>
      <c r="U1452">
        <v>16642</v>
      </c>
      <c r="V1452">
        <v>1</v>
      </c>
      <c r="W1452" t="s">
        <v>42</v>
      </c>
      <c r="X1452" t="s">
        <v>35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1</v>
      </c>
      <c r="AJ1452">
        <v>7</v>
      </c>
    </row>
    <row r="1453" spans="1:36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tr">
        <v>yes</v>
      </c>
      <c r="S1453" t="s">
        <v>48</v>
      </c>
      <c r="T1453">
        <v>5343</v>
      </c>
      <c r="U1453">
        <v>5982</v>
      </c>
      <c r="V1453">
        <v>1</v>
      </c>
      <c r="W1453" t="s">
        <v>42</v>
      </c>
      <c r="X1453" t="s">
        <v>43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7</v>
      </c>
      <c r="AI1453">
        <v>1</v>
      </c>
      <c r="AJ1453">
        <v>9</v>
      </c>
    </row>
    <row r="1454" spans="1:36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tr">
        <v>yes</v>
      </c>
      <c r="S1454" t="s">
        <v>52</v>
      </c>
      <c r="T1454">
        <v>6728</v>
      </c>
      <c r="U1454">
        <v>14255</v>
      </c>
      <c r="V1454">
        <v>7</v>
      </c>
      <c r="W1454" t="s">
        <v>42</v>
      </c>
      <c r="X1454" t="s">
        <v>43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3</v>
      </c>
      <c r="AI1454">
        <v>0</v>
      </c>
      <c r="AJ1454">
        <v>1</v>
      </c>
    </row>
    <row r="1455" spans="1:36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tr">
        <v>yes</v>
      </c>
      <c r="S1455" t="s">
        <v>48</v>
      </c>
      <c r="T1455">
        <v>6652</v>
      </c>
      <c r="U1455">
        <v>14369</v>
      </c>
      <c r="V1455">
        <v>4</v>
      </c>
      <c r="W1455" t="s">
        <v>42</v>
      </c>
      <c r="X1455" t="s">
        <v>43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3</v>
      </c>
      <c r="AI1455">
        <v>0</v>
      </c>
      <c r="AJ1455">
        <v>0</v>
      </c>
    </row>
    <row r="1456" spans="1:36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tr">
        <v>yes</v>
      </c>
      <c r="S1456" t="s">
        <v>41</v>
      </c>
      <c r="T1456">
        <v>4850</v>
      </c>
      <c r="U1456">
        <v>23333</v>
      </c>
      <c r="V1456">
        <v>8</v>
      </c>
      <c r="W1456" t="s">
        <v>42</v>
      </c>
      <c r="X1456" t="s">
        <v>43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0</v>
      </c>
      <c r="AJ1456">
        <v>1</v>
      </c>
    </row>
    <row r="1457" spans="1:36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tr">
        <v>yes</v>
      </c>
      <c r="S1457" t="s">
        <v>41</v>
      </c>
      <c r="T1457">
        <v>2809</v>
      </c>
      <c r="U1457">
        <v>2725</v>
      </c>
      <c r="V1457">
        <v>2</v>
      </c>
      <c r="W1457" t="s">
        <v>42</v>
      </c>
      <c r="X1457" t="s">
        <v>43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2</v>
      </c>
      <c r="AI1457">
        <v>2</v>
      </c>
      <c r="AJ1457">
        <v>2</v>
      </c>
    </row>
    <row r="1458" spans="1:36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tr">
        <v>yes</v>
      </c>
      <c r="S1458" t="s">
        <v>48</v>
      </c>
      <c r="T1458">
        <v>5689</v>
      </c>
      <c r="U1458">
        <v>24594</v>
      </c>
      <c r="V1458">
        <v>1</v>
      </c>
      <c r="W1458" t="s">
        <v>42</v>
      </c>
      <c r="X1458" t="s">
        <v>35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2</v>
      </c>
      <c r="AI1458">
        <v>0</v>
      </c>
      <c r="AJ1458">
        <v>2</v>
      </c>
    </row>
    <row r="1459" spans="1:36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tr">
        <v>yes</v>
      </c>
      <c r="S1459" t="s">
        <v>48</v>
      </c>
      <c r="T1459">
        <v>2001</v>
      </c>
      <c r="U1459">
        <v>12549</v>
      </c>
      <c r="V1459">
        <v>2</v>
      </c>
      <c r="W1459" t="s">
        <v>42</v>
      </c>
      <c r="X1459" t="s">
        <v>43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3</v>
      </c>
      <c r="AI1459">
        <v>0</v>
      </c>
      <c r="AJ1459">
        <v>2</v>
      </c>
    </row>
    <row r="1460" spans="1:36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tr">
        <v>yes</v>
      </c>
      <c r="S1460" t="s">
        <v>48</v>
      </c>
      <c r="T1460">
        <v>2977</v>
      </c>
      <c r="U1460">
        <v>8952</v>
      </c>
      <c r="V1460">
        <v>1</v>
      </c>
      <c r="W1460" t="s">
        <v>42</v>
      </c>
      <c r="X1460" t="s">
        <v>43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3</v>
      </c>
      <c r="AI1460">
        <v>1</v>
      </c>
      <c r="AJ1460">
        <v>1</v>
      </c>
    </row>
    <row r="1461" spans="1:36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tr">
        <v>no</v>
      </c>
      <c r="S1461" t="s">
        <v>48</v>
      </c>
      <c r="T1461">
        <v>4025</v>
      </c>
      <c r="U1461">
        <v>23679</v>
      </c>
      <c r="V1461">
        <v>4</v>
      </c>
      <c r="W1461" t="s">
        <v>42</v>
      </c>
      <c r="X1461" t="s">
        <v>35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3</v>
      </c>
      <c r="AI1461">
        <v>0</v>
      </c>
      <c r="AJ1461">
        <v>3</v>
      </c>
    </row>
    <row r="1462" spans="1:36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tr">
        <v>no</v>
      </c>
      <c r="S1462" t="s">
        <v>41</v>
      </c>
      <c r="T1462">
        <v>3785</v>
      </c>
      <c r="U1462">
        <v>8489</v>
      </c>
      <c r="V1462">
        <v>1</v>
      </c>
      <c r="W1462" t="s">
        <v>42</v>
      </c>
      <c r="X1462" t="s">
        <v>43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4</v>
      </c>
      <c r="AI1462">
        <v>0</v>
      </c>
      <c r="AJ1462">
        <v>4</v>
      </c>
    </row>
    <row r="1463" spans="1:36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tr">
        <v>no</v>
      </c>
      <c r="S1463" t="s">
        <v>52</v>
      </c>
      <c r="T1463">
        <v>10854</v>
      </c>
      <c r="U1463">
        <v>16586</v>
      </c>
      <c r="V1463">
        <v>4</v>
      </c>
      <c r="W1463" t="s">
        <v>42</v>
      </c>
      <c r="X1463" t="s">
        <v>35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2</v>
      </c>
      <c r="AI1463">
        <v>2</v>
      </c>
      <c r="AJ1463">
        <v>0</v>
      </c>
    </row>
    <row r="1464" spans="1:36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tr">
        <v>yes</v>
      </c>
      <c r="S1464" t="s">
        <v>48</v>
      </c>
      <c r="T1464">
        <v>12031</v>
      </c>
      <c r="U1464">
        <v>8828</v>
      </c>
      <c r="V1464">
        <v>0</v>
      </c>
      <c r="W1464" t="s">
        <v>42</v>
      </c>
      <c r="X1464" t="s">
        <v>43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9</v>
      </c>
      <c r="AI1464">
        <v>9</v>
      </c>
      <c r="AJ1464">
        <v>6</v>
      </c>
    </row>
    <row r="1465" spans="1:36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tr">
        <v>no</v>
      </c>
      <c r="S1465" t="s">
        <v>41</v>
      </c>
      <c r="T1465">
        <v>9936</v>
      </c>
      <c r="U1465">
        <v>3787</v>
      </c>
      <c r="V1465">
        <v>0</v>
      </c>
      <c r="W1465" t="s">
        <v>42</v>
      </c>
      <c r="X1465" t="s">
        <v>43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4</v>
      </c>
      <c r="AI1465">
        <v>1</v>
      </c>
      <c r="AJ1465">
        <v>7</v>
      </c>
    </row>
    <row r="1466" spans="1:36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tr">
        <v>yes</v>
      </c>
      <c r="S1466" t="s">
        <v>41</v>
      </c>
      <c r="T1466">
        <v>2966</v>
      </c>
      <c r="U1466">
        <v>21378</v>
      </c>
      <c r="V1466">
        <v>0</v>
      </c>
      <c r="W1466" t="s">
        <v>42</v>
      </c>
      <c r="X1466" t="s">
        <v>43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2</v>
      </c>
      <c r="AI1466">
        <v>0</v>
      </c>
      <c r="AJ1466">
        <v>0</v>
      </c>
    </row>
    <row r="1467" spans="1:36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tr">
        <v>yes</v>
      </c>
      <c r="S1467" t="s">
        <v>48</v>
      </c>
      <c r="T1467">
        <v>2571</v>
      </c>
      <c r="U1467">
        <v>12290</v>
      </c>
      <c r="V1467">
        <v>4</v>
      </c>
      <c r="W1467" t="s">
        <v>42</v>
      </c>
      <c r="X1467" t="s">
        <v>43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2</v>
      </c>
      <c r="AI1467">
        <v>0</v>
      </c>
      <c r="AJ1467">
        <v>3</v>
      </c>
    </row>
    <row r="1468" spans="1:36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tr">
        <v>no</v>
      </c>
      <c r="S1468" t="s">
        <v>48</v>
      </c>
      <c r="T1468">
        <v>9991</v>
      </c>
      <c r="U1468">
        <v>21457</v>
      </c>
      <c r="V1468">
        <v>4</v>
      </c>
      <c r="W1468" t="s">
        <v>42</v>
      </c>
      <c r="X1468" t="s">
        <v>43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7</v>
      </c>
      <c r="AI1468">
        <v>1</v>
      </c>
      <c r="AJ1468">
        <v>7</v>
      </c>
    </row>
    <row r="1469" spans="1:36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tr">
        <v>no</v>
      </c>
      <c r="S1469" t="s">
        <v>48</v>
      </c>
      <c r="T1469">
        <v>6142</v>
      </c>
      <c r="U1469">
        <v>5174</v>
      </c>
      <c r="V1469">
        <v>1</v>
      </c>
      <c r="W1469" t="s">
        <v>42</v>
      </c>
      <c r="X1469" t="s">
        <v>35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2</v>
      </c>
      <c r="AI1469">
        <v>0</v>
      </c>
      <c r="AJ1469">
        <v>3</v>
      </c>
    </row>
    <row r="1470" spans="1:36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tr">
        <v>no</v>
      </c>
      <c r="S1470" t="s">
        <v>48</v>
      </c>
      <c r="T1470">
        <v>5390</v>
      </c>
      <c r="U1470">
        <v>13243</v>
      </c>
      <c r="V1470">
        <v>2</v>
      </c>
      <c r="W1470" t="s">
        <v>42</v>
      </c>
      <c r="X1470" t="s">
        <v>43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6</v>
      </c>
      <c r="AI1470">
        <v>0</v>
      </c>
      <c r="AJ1470">
        <v>8</v>
      </c>
    </row>
    <row r="1471" spans="1:36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tr">
        <v>yes</v>
      </c>
      <c r="S1471" t="s">
        <v>48</v>
      </c>
      <c r="T1471">
        <v>4404</v>
      </c>
      <c r="U1471">
        <v>10228</v>
      </c>
      <c r="V1471">
        <v>2</v>
      </c>
      <c r="W1471" t="s">
        <v>42</v>
      </c>
      <c r="X1471" t="s">
        <v>43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3</v>
      </c>
      <c r="AI1471">
        <v>1</v>
      </c>
      <c r="AJ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8660-FFCA-4ECA-80C2-6806497B41EE}">
  <dimension ref="A2:H9"/>
  <sheetViews>
    <sheetView workbookViewId="0">
      <selection activeCell="G15" sqref="G15"/>
    </sheetView>
  </sheetViews>
  <sheetFormatPr defaultRowHeight="15" x14ac:dyDescent="0.25"/>
  <cols>
    <col min="1" max="1" width="15.28515625" customWidth="1"/>
    <col min="2" max="2" width="17.28515625" customWidth="1"/>
    <col min="3" max="3" width="13.28515625" customWidth="1"/>
    <col min="7" max="7" width="15.7109375" customWidth="1"/>
  </cols>
  <sheetData>
    <row r="2" spans="1:8" x14ac:dyDescent="0.25">
      <c r="A2" s="13" t="s">
        <v>65</v>
      </c>
      <c r="B2" s="13"/>
      <c r="C2" s="11">
        <f>COUNTA('HR-Employee-Attriti'!A2:A1471)</f>
        <v>1470</v>
      </c>
    </row>
    <row r="3" spans="1:8" x14ac:dyDescent="0.25">
      <c r="A3" s="13" t="s">
        <v>66</v>
      </c>
      <c r="B3" s="13"/>
      <c r="C3" s="11">
        <f>COUNTIF('HR-Employee-Attriti'!B2:B1471,"yes")</f>
        <v>237</v>
      </c>
    </row>
    <row r="4" spans="1:8" x14ac:dyDescent="0.25">
      <c r="A4" s="13" t="s">
        <v>67</v>
      </c>
      <c r="B4" s="13"/>
      <c r="C4" s="12">
        <f>C3/C2</f>
        <v>0.16122448979591836</v>
      </c>
    </row>
    <row r="5" spans="1:8" x14ac:dyDescent="0.25">
      <c r="D5" s="6"/>
    </row>
    <row r="6" spans="1:8" x14ac:dyDescent="0.25">
      <c r="A6" s="10" t="s">
        <v>74</v>
      </c>
      <c r="B6" s="10"/>
      <c r="C6" s="11">
        <v>3</v>
      </c>
      <c r="D6" s="11">
        <v>4</v>
      </c>
      <c r="E6" s="11" t="s">
        <v>75</v>
      </c>
      <c r="F6" s="11"/>
      <c r="G6" s="11"/>
      <c r="H6" s="11" t="s">
        <v>75</v>
      </c>
    </row>
    <row r="7" spans="1:8" ht="39" customHeight="1" x14ac:dyDescent="0.25">
      <c r="A7" s="14" t="s">
        <v>68</v>
      </c>
      <c r="B7" s="14"/>
      <c r="C7" s="3">
        <f>COUNTIF('HR-Employee-Attriti'!Q2:Q1471,"3")</f>
        <v>442</v>
      </c>
      <c r="D7" s="3">
        <f>E7-C7</f>
        <v>459</v>
      </c>
      <c r="E7" s="17">
        <f>COUNTIF('HR-Employee-Attriti'!R2:R1471,"yes")</f>
        <v>901</v>
      </c>
      <c r="F7" s="14" t="s">
        <v>70</v>
      </c>
      <c r="G7" s="14"/>
      <c r="H7">
        <f>C2-E7</f>
        <v>569</v>
      </c>
    </row>
    <row r="8" spans="1:8" ht="16.5" customHeight="1" x14ac:dyDescent="0.25">
      <c r="A8" s="15" t="s">
        <v>71</v>
      </c>
      <c r="B8" s="15"/>
      <c r="C8" s="3">
        <f>C7/C2</f>
        <v>0.30068027210884352</v>
      </c>
      <c r="D8" s="3">
        <f>D7/C2</f>
        <v>0.3122448979591837</v>
      </c>
      <c r="E8" s="3">
        <f>E7/C2</f>
        <v>0.61292517006802716</v>
      </c>
      <c r="F8" s="15" t="s">
        <v>72</v>
      </c>
      <c r="G8" s="15"/>
      <c r="H8" s="3">
        <f>H7/C2</f>
        <v>0.38707482993197279</v>
      </c>
    </row>
    <row r="9" spans="1:8" x14ac:dyDescent="0.25">
      <c r="A9" s="15" t="s">
        <v>73</v>
      </c>
      <c r="B9" s="15"/>
      <c r="C9" s="4">
        <f>C3/C7</f>
        <v>0.53619909502262442</v>
      </c>
      <c r="D9" s="3">
        <f>C3/D7</f>
        <v>0.5163398692810458</v>
      </c>
      <c r="E9" s="3"/>
      <c r="F9" s="16"/>
      <c r="G9" s="16"/>
    </row>
  </sheetData>
  <mergeCells count="9">
    <mergeCell ref="A2:B2"/>
    <mergeCell ref="A3:B3"/>
    <mergeCell ref="A4:B4"/>
    <mergeCell ref="F7:G7"/>
    <mergeCell ref="A8:B8"/>
    <mergeCell ref="A7:B7"/>
    <mergeCell ref="F8:G8"/>
    <mergeCell ref="A9:B9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6B82-024C-4163-93F1-F9A087938858}">
  <dimension ref="A1:P36"/>
  <sheetViews>
    <sheetView workbookViewId="0">
      <selection activeCell="P23" sqref="P23"/>
    </sheetView>
  </sheetViews>
  <sheetFormatPr defaultRowHeight="15" x14ac:dyDescent="0.25"/>
  <cols>
    <col min="1" max="1" width="11.28515625" bestFit="1" customWidth="1"/>
    <col min="2" max="2" width="16.85546875" bestFit="1" customWidth="1"/>
    <col min="3" max="3" width="28.140625" bestFit="1" customWidth="1"/>
    <col min="4" max="4" width="16.85546875" bestFit="1" customWidth="1"/>
    <col min="5" max="5" width="16.7109375" bestFit="1" customWidth="1"/>
    <col min="6" max="6" width="16.85546875" bestFit="1" customWidth="1"/>
    <col min="7" max="7" width="24.7109375" bestFit="1" customWidth="1"/>
    <col min="8" max="8" width="16.85546875" bestFit="1" customWidth="1"/>
    <col min="9" max="9" width="26.85546875" bestFit="1" customWidth="1"/>
    <col min="10" max="10" width="25.42578125" bestFit="1" customWidth="1"/>
    <col min="11" max="13" width="2" bestFit="1" customWidth="1"/>
    <col min="14" max="14" width="20.7109375" bestFit="1" customWidth="1"/>
    <col min="15" max="15" width="25.42578125" bestFit="1" customWidth="1"/>
    <col min="16" max="16" width="32.28515625" bestFit="1" customWidth="1"/>
    <col min="17" max="17" width="28.42578125" bestFit="1" customWidth="1"/>
    <col min="18" max="18" width="37.28515625" bestFit="1" customWidth="1"/>
    <col min="19" max="74" width="5" bestFit="1" customWidth="1"/>
    <col min="75" max="239" width="6" bestFit="1" customWidth="1"/>
    <col min="240" max="240" width="11.28515625" bestFit="1" customWidth="1"/>
  </cols>
  <sheetData>
    <row r="1" spans="1:16" x14ac:dyDescent="0.25">
      <c r="A1" s="1" t="s">
        <v>1</v>
      </c>
      <c r="B1" t="s">
        <v>35</v>
      </c>
      <c r="C1" s="1" t="s">
        <v>1</v>
      </c>
      <c r="D1" t="s">
        <v>35</v>
      </c>
      <c r="E1" s="1" t="s">
        <v>1</v>
      </c>
      <c r="F1" t="s">
        <v>35</v>
      </c>
    </row>
    <row r="2" spans="1:16" x14ac:dyDescent="0.25">
      <c r="G2" s="1" t="s">
        <v>1</v>
      </c>
      <c r="H2" t="s">
        <v>35</v>
      </c>
      <c r="I2" s="1" t="s">
        <v>1</v>
      </c>
      <c r="J2" t="s">
        <v>35</v>
      </c>
    </row>
    <row r="3" spans="1:16" x14ac:dyDescent="0.25">
      <c r="A3" s="1" t="s">
        <v>11</v>
      </c>
      <c r="B3" t="s">
        <v>64</v>
      </c>
      <c r="C3" s="1" t="s">
        <v>77</v>
      </c>
      <c r="D3" t="s">
        <v>64</v>
      </c>
      <c r="E3" s="1" t="s">
        <v>78</v>
      </c>
      <c r="F3" t="s">
        <v>64</v>
      </c>
    </row>
    <row r="4" spans="1:16" x14ac:dyDescent="0.25">
      <c r="A4" s="2" t="s">
        <v>39</v>
      </c>
      <c r="B4">
        <v>87</v>
      </c>
      <c r="C4" s="2" t="s">
        <v>61</v>
      </c>
      <c r="D4">
        <v>12</v>
      </c>
      <c r="E4" s="2">
        <v>1</v>
      </c>
      <c r="F4">
        <v>66</v>
      </c>
      <c r="G4" s="1" t="s">
        <v>80</v>
      </c>
      <c r="H4" t="s">
        <v>64</v>
      </c>
      <c r="I4" s="1" t="s">
        <v>62</v>
      </c>
      <c r="J4" t="s">
        <v>64</v>
      </c>
    </row>
    <row r="5" spans="1:16" x14ac:dyDescent="0.25">
      <c r="A5" s="2" t="s">
        <v>46</v>
      </c>
      <c r="B5">
        <v>150</v>
      </c>
      <c r="C5" s="5" t="s">
        <v>61</v>
      </c>
      <c r="D5">
        <v>12</v>
      </c>
      <c r="E5" s="2">
        <v>2</v>
      </c>
      <c r="F5">
        <v>46</v>
      </c>
      <c r="G5" s="8">
        <v>0</v>
      </c>
      <c r="H5" s="9">
        <v>110</v>
      </c>
      <c r="I5" s="8">
        <v>1</v>
      </c>
      <c r="J5" s="9">
        <v>72</v>
      </c>
    </row>
    <row r="6" spans="1:16" x14ac:dyDescent="0.25">
      <c r="A6" s="2" t="s">
        <v>63</v>
      </c>
      <c r="B6">
        <v>237</v>
      </c>
      <c r="C6" s="2" t="s">
        <v>45</v>
      </c>
      <c r="D6">
        <v>133</v>
      </c>
      <c r="E6" s="2">
        <v>3</v>
      </c>
      <c r="F6">
        <v>73</v>
      </c>
      <c r="G6" s="2">
        <v>1</v>
      </c>
      <c r="H6" s="7">
        <v>49</v>
      </c>
      <c r="I6" s="2">
        <v>2</v>
      </c>
      <c r="J6" s="7">
        <v>43</v>
      </c>
    </row>
    <row r="7" spans="1:16" x14ac:dyDescent="0.25">
      <c r="A7" s="1" t="s">
        <v>1</v>
      </c>
      <c r="B7" t="s">
        <v>35</v>
      </c>
      <c r="C7" s="5" t="s">
        <v>54</v>
      </c>
      <c r="D7">
        <v>9</v>
      </c>
      <c r="E7" s="2">
        <v>4</v>
      </c>
      <c r="F7">
        <v>52</v>
      </c>
      <c r="G7" s="2">
        <v>2</v>
      </c>
      <c r="H7" s="7">
        <v>27</v>
      </c>
      <c r="I7" s="2">
        <v>3</v>
      </c>
      <c r="J7" s="7">
        <v>62</v>
      </c>
      <c r="N7" s="1" t="s">
        <v>1</v>
      </c>
      <c r="O7" t="s">
        <v>35</v>
      </c>
    </row>
    <row r="8" spans="1:16" x14ac:dyDescent="0.25">
      <c r="C8" s="5" t="s">
        <v>50</v>
      </c>
      <c r="D8">
        <v>62</v>
      </c>
      <c r="E8" s="2" t="s">
        <v>63</v>
      </c>
      <c r="F8">
        <v>237</v>
      </c>
      <c r="G8" s="2">
        <v>3</v>
      </c>
      <c r="H8" s="7">
        <v>9</v>
      </c>
      <c r="I8" s="2">
        <v>4</v>
      </c>
      <c r="J8" s="7">
        <v>60</v>
      </c>
      <c r="N8" s="1" t="s">
        <v>0</v>
      </c>
      <c r="O8" t="s">
        <v>84</v>
      </c>
    </row>
    <row r="9" spans="1:16" x14ac:dyDescent="0.25">
      <c r="A9" s="1" t="s">
        <v>0</v>
      </c>
      <c r="B9" t="s">
        <v>64</v>
      </c>
      <c r="C9" s="5" t="s">
        <v>56</v>
      </c>
      <c r="D9">
        <v>3</v>
      </c>
      <c r="G9" s="2">
        <v>4</v>
      </c>
      <c r="H9" s="7">
        <v>5</v>
      </c>
      <c r="I9" s="2" t="s">
        <v>63</v>
      </c>
      <c r="J9" s="7">
        <v>237</v>
      </c>
      <c r="N9" s="1" t="s">
        <v>4</v>
      </c>
      <c r="O9" t="s">
        <v>45</v>
      </c>
    </row>
    <row r="10" spans="1:16" x14ac:dyDescent="0.25">
      <c r="A10" s="2">
        <v>29</v>
      </c>
      <c r="B10">
        <v>18</v>
      </c>
      <c r="C10" s="5" t="s">
        <v>53</v>
      </c>
      <c r="D10">
        <v>10</v>
      </c>
      <c r="E10" s="1" t="s">
        <v>1</v>
      </c>
      <c r="F10" t="s">
        <v>35</v>
      </c>
      <c r="G10" s="2">
        <v>5</v>
      </c>
      <c r="H10" s="7">
        <v>2</v>
      </c>
      <c r="I10" s="1" t="s">
        <v>1</v>
      </c>
      <c r="J10" t="s">
        <v>35</v>
      </c>
      <c r="N10" s="1" t="s">
        <v>15</v>
      </c>
      <c r="O10" t="s">
        <v>84</v>
      </c>
    </row>
    <row r="11" spans="1:16" x14ac:dyDescent="0.25">
      <c r="A11" s="2">
        <v>31</v>
      </c>
      <c r="B11">
        <v>18</v>
      </c>
      <c r="C11" s="5" t="s">
        <v>58</v>
      </c>
      <c r="D11">
        <v>2</v>
      </c>
      <c r="G11" s="2">
        <v>6</v>
      </c>
      <c r="H11" s="7">
        <v>6</v>
      </c>
      <c r="I11" s="1" t="s">
        <v>4</v>
      </c>
      <c r="J11" t="s">
        <v>45</v>
      </c>
    </row>
    <row r="12" spans="1:16" x14ac:dyDescent="0.25">
      <c r="A12" s="2">
        <v>28</v>
      </c>
      <c r="B12">
        <v>14</v>
      </c>
      <c r="C12" s="5" t="s">
        <v>47</v>
      </c>
      <c r="D12">
        <v>47</v>
      </c>
      <c r="E12" s="1" t="s">
        <v>79</v>
      </c>
      <c r="F12" t="s">
        <v>64</v>
      </c>
      <c r="G12" s="2">
        <v>7</v>
      </c>
      <c r="H12" s="7">
        <v>16</v>
      </c>
      <c r="I12" s="1" t="s">
        <v>11</v>
      </c>
      <c r="J12" t="s">
        <v>46</v>
      </c>
      <c r="N12" s="1" t="s">
        <v>85</v>
      </c>
      <c r="O12" t="s">
        <v>86</v>
      </c>
      <c r="P12" t="s">
        <v>87</v>
      </c>
    </row>
    <row r="13" spans="1:16" x14ac:dyDescent="0.25">
      <c r="A13" s="2">
        <v>26</v>
      </c>
      <c r="B13">
        <v>12</v>
      </c>
      <c r="C13" s="2" t="s">
        <v>37</v>
      </c>
      <c r="D13">
        <v>92</v>
      </c>
      <c r="E13" s="2">
        <v>1</v>
      </c>
      <c r="F13" s="7">
        <v>25</v>
      </c>
      <c r="G13" s="2">
        <v>9</v>
      </c>
      <c r="H13" s="7">
        <v>4</v>
      </c>
      <c r="N13" s="2">
        <v>3</v>
      </c>
      <c r="O13" s="7">
        <v>7</v>
      </c>
      <c r="P13" s="7">
        <v>7</v>
      </c>
    </row>
    <row r="14" spans="1:16" x14ac:dyDescent="0.25">
      <c r="A14" s="2">
        <v>33</v>
      </c>
      <c r="B14">
        <v>12</v>
      </c>
      <c r="C14" s="5" t="s">
        <v>56</v>
      </c>
      <c r="D14">
        <v>2</v>
      </c>
      <c r="E14" s="2">
        <v>2</v>
      </c>
      <c r="F14" s="7">
        <v>58</v>
      </c>
      <c r="G14" s="2">
        <v>10</v>
      </c>
      <c r="H14" s="7">
        <v>1</v>
      </c>
      <c r="I14" s="1" t="s">
        <v>83</v>
      </c>
      <c r="J14" t="s">
        <v>64</v>
      </c>
      <c r="N14" s="5">
        <v>80</v>
      </c>
      <c r="O14" s="7">
        <v>7</v>
      </c>
      <c r="P14" s="7">
        <v>7</v>
      </c>
    </row>
    <row r="15" spans="1:16" x14ac:dyDescent="0.25">
      <c r="A15" s="2">
        <v>32</v>
      </c>
      <c r="B15">
        <v>11</v>
      </c>
      <c r="C15" s="5" t="s">
        <v>40</v>
      </c>
      <c r="D15">
        <v>57</v>
      </c>
      <c r="E15" s="8">
        <v>3</v>
      </c>
      <c r="F15" s="9">
        <v>127</v>
      </c>
      <c r="G15" s="2">
        <v>11</v>
      </c>
      <c r="H15" s="7">
        <v>2</v>
      </c>
      <c r="I15" s="8">
        <v>1</v>
      </c>
      <c r="J15" s="9">
        <v>29</v>
      </c>
      <c r="N15" s="2" t="s">
        <v>63</v>
      </c>
      <c r="O15" s="7">
        <v>7</v>
      </c>
      <c r="P15" s="7">
        <v>7</v>
      </c>
    </row>
    <row r="16" spans="1:16" x14ac:dyDescent="0.25">
      <c r="A16" s="2">
        <v>35</v>
      </c>
      <c r="B16">
        <v>10</v>
      </c>
      <c r="C16" s="5" t="s">
        <v>57</v>
      </c>
      <c r="D16">
        <v>33</v>
      </c>
      <c r="E16" s="2">
        <v>4</v>
      </c>
      <c r="F16" s="7">
        <v>27</v>
      </c>
      <c r="G16" s="2">
        <v>13</v>
      </c>
      <c r="H16" s="7">
        <v>2</v>
      </c>
      <c r="I16" s="2">
        <v>2</v>
      </c>
      <c r="J16" s="7">
        <v>10</v>
      </c>
    </row>
    <row r="17" spans="1:10" x14ac:dyDescent="0.25">
      <c r="A17" s="2">
        <v>34</v>
      </c>
      <c r="B17">
        <v>9</v>
      </c>
      <c r="C17" s="2" t="s">
        <v>63</v>
      </c>
      <c r="D17">
        <v>237</v>
      </c>
      <c r="E17" s="2" t="s">
        <v>63</v>
      </c>
      <c r="F17" s="7">
        <v>237</v>
      </c>
      <c r="G17" s="2">
        <v>14</v>
      </c>
      <c r="H17" s="7">
        <v>1</v>
      </c>
      <c r="I17" s="2">
        <v>3</v>
      </c>
      <c r="J17" s="7">
        <v>28</v>
      </c>
    </row>
    <row r="18" spans="1:10" x14ac:dyDescent="0.25">
      <c r="A18" s="2">
        <v>30</v>
      </c>
      <c r="B18">
        <v>9</v>
      </c>
      <c r="C18" s="1" t="s">
        <v>1</v>
      </c>
      <c r="D18" t="s">
        <v>35</v>
      </c>
      <c r="G18" s="2">
        <v>15</v>
      </c>
      <c r="H18" s="7">
        <v>3</v>
      </c>
      <c r="I18" s="2">
        <v>4</v>
      </c>
      <c r="J18" s="7">
        <v>23</v>
      </c>
    </row>
    <row r="19" spans="1:10" x14ac:dyDescent="0.25">
      <c r="A19" s="2">
        <v>24</v>
      </c>
      <c r="B19">
        <v>7</v>
      </c>
      <c r="G19" s="2" t="s">
        <v>63</v>
      </c>
      <c r="H19" s="7">
        <v>237</v>
      </c>
      <c r="I19" s="2" t="s">
        <v>63</v>
      </c>
      <c r="J19" s="7">
        <v>90</v>
      </c>
    </row>
    <row r="20" spans="1:10" x14ac:dyDescent="0.25">
      <c r="A20" s="2" t="s">
        <v>63</v>
      </c>
      <c r="B20">
        <v>120</v>
      </c>
      <c r="D20" s="1" t="s">
        <v>81</v>
      </c>
    </row>
    <row r="21" spans="1:10" x14ac:dyDescent="0.25">
      <c r="D21" t="s">
        <v>52</v>
      </c>
      <c r="E21" t="s">
        <v>48</v>
      </c>
      <c r="F21" t="s">
        <v>41</v>
      </c>
      <c r="G21" t="s">
        <v>63</v>
      </c>
    </row>
    <row r="22" spans="1:10" x14ac:dyDescent="0.25">
      <c r="C22" t="s">
        <v>64</v>
      </c>
      <c r="D22" s="7">
        <v>33</v>
      </c>
      <c r="E22" s="7">
        <v>84</v>
      </c>
      <c r="F22" s="7">
        <v>120</v>
      </c>
      <c r="G22" s="7">
        <v>237</v>
      </c>
    </row>
    <row r="23" spans="1:10" x14ac:dyDescent="0.25">
      <c r="C23" s="1" t="s">
        <v>1</v>
      </c>
      <c r="D23" t="s">
        <v>35</v>
      </c>
    </row>
    <row r="25" spans="1:10" x14ac:dyDescent="0.25">
      <c r="C25" s="1" t="s">
        <v>82</v>
      </c>
      <c r="D25" t="s">
        <v>64</v>
      </c>
    </row>
    <row r="26" spans="1:10" x14ac:dyDescent="0.25">
      <c r="C26" s="2">
        <v>1</v>
      </c>
      <c r="D26" s="7">
        <v>59</v>
      </c>
    </row>
    <row r="27" spans="1:10" x14ac:dyDescent="0.25">
      <c r="C27" s="2">
        <v>2</v>
      </c>
      <c r="D27" s="7">
        <v>27</v>
      </c>
    </row>
    <row r="28" spans="1:10" x14ac:dyDescent="0.25">
      <c r="C28" s="2">
        <v>5</v>
      </c>
      <c r="D28" s="7">
        <v>21</v>
      </c>
    </row>
    <row r="29" spans="1:10" x14ac:dyDescent="0.25">
      <c r="C29" s="2">
        <v>3</v>
      </c>
      <c r="D29" s="7">
        <v>20</v>
      </c>
    </row>
    <row r="30" spans="1:10" x14ac:dyDescent="0.25">
      <c r="C30" s="2">
        <v>4</v>
      </c>
      <c r="D30" s="7">
        <v>19</v>
      </c>
    </row>
    <row r="31" spans="1:10" x14ac:dyDescent="0.25">
      <c r="C31" s="2">
        <v>10</v>
      </c>
      <c r="D31" s="7">
        <v>18</v>
      </c>
    </row>
    <row r="32" spans="1:10" x14ac:dyDescent="0.25">
      <c r="C32" s="2">
        <v>0</v>
      </c>
      <c r="D32" s="7">
        <v>16</v>
      </c>
    </row>
    <row r="33" spans="3:4" x14ac:dyDescent="0.25">
      <c r="C33" s="2">
        <v>7</v>
      </c>
      <c r="D33" s="7">
        <v>11</v>
      </c>
    </row>
    <row r="34" spans="3:4" x14ac:dyDescent="0.25">
      <c r="C34" s="2">
        <v>6</v>
      </c>
      <c r="D34" s="7">
        <v>9</v>
      </c>
    </row>
    <row r="35" spans="3:4" x14ac:dyDescent="0.25">
      <c r="C35" s="2">
        <v>8</v>
      </c>
      <c r="D35" s="7">
        <v>9</v>
      </c>
    </row>
    <row r="36" spans="3:4" x14ac:dyDescent="0.25">
      <c r="C36" s="2" t="s">
        <v>63</v>
      </c>
      <c r="D36" s="7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67A0-7680-4BD5-A0B1-754E5F79A6E0}">
  <dimension ref="A1"/>
  <sheetViews>
    <sheetView topLeftCell="A14" workbookViewId="0">
      <selection activeCell="P44" sqref="P4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HR-Employee-Attriti</vt:lpstr>
      <vt:lpstr>Basic calculation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2026-04-27T14:09:46Z</dcterms:created>
  <dcterms:modified xsi:type="dcterms:W3CDTF">2026-04-27T14:52:00Z</dcterms:modified>
</cp:coreProperties>
</file>